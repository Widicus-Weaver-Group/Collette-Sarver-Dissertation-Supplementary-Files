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\Documents\Research\Ice-work-laptop\"/>
    </mc:Choice>
  </mc:AlternateContent>
  <xr:revisionPtr revIDLastSave="0" documentId="13_ncr:1_{41E79BE1-9CEA-4081-A53B-3D616D108ABC}" xr6:coauthVersionLast="47" xr6:coauthVersionMax="47" xr10:uidLastSave="{00000000-0000-0000-0000-000000000000}"/>
  <bookViews>
    <workbookView xWindow="-110" yWindow="-110" windowWidth="19420" windowHeight="10420" xr2:uid="{006A647F-F422-4028-926E-4B2F390C4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1" l="1"/>
  <c r="HS33" i="1"/>
  <c r="HS32" i="1"/>
  <c r="HS31" i="1"/>
  <c r="HS30" i="1"/>
  <c r="HS29" i="1"/>
  <c r="HS28" i="1"/>
  <c r="HS27" i="1"/>
  <c r="HS26" i="1"/>
  <c r="HS25" i="1"/>
  <c r="HS24" i="1"/>
  <c r="HS23" i="1"/>
  <c r="HS22" i="1"/>
  <c r="HS21" i="1"/>
  <c r="HS20" i="1"/>
  <c r="HS19" i="1"/>
  <c r="HS18" i="1"/>
  <c r="HS17" i="1"/>
  <c r="HS16" i="1"/>
  <c r="HS15" i="1"/>
  <c r="HS14" i="1"/>
  <c r="HS13" i="1"/>
  <c r="HS12" i="1"/>
  <c r="HS11" i="1"/>
  <c r="HS10" i="1"/>
  <c r="HS9" i="1"/>
  <c r="HS8" i="1"/>
  <c r="HS7" i="1"/>
  <c r="HS6" i="1"/>
  <c r="HS5" i="1"/>
  <c r="HS4" i="1"/>
  <c r="HS3" i="1"/>
  <c r="M61" i="1"/>
  <c r="HH17" i="1"/>
  <c r="HH33" i="1"/>
  <c r="HH32" i="1"/>
  <c r="HH31" i="1"/>
  <c r="HH30" i="1"/>
  <c r="HH29" i="1"/>
  <c r="HH28" i="1"/>
  <c r="HH27" i="1"/>
  <c r="HH26" i="1"/>
  <c r="HH25" i="1"/>
  <c r="HH24" i="1"/>
  <c r="HH23" i="1"/>
  <c r="HH22" i="1"/>
  <c r="HH21" i="1"/>
  <c r="HH20" i="1"/>
  <c r="HH19" i="1"/>
  <c r="HH18" i="1"/>
  <c r="HH16" i="1"/>
  <c r="HH15" i="1"/>
  <c r="HH14" i="1"/>
  <c r="HH13" i="1"/>
  <c r="HH12" i="1"/>
  <c r="HH11" i="1"/>
  <c r="HH10" i="1"/>
  <c r="HH9" i="1"/>
  <c r="HH8" i="1"/>
  <c r="HH7" i="1"/>
  <c r="HH6" i="1"/>
  <c r="HH5" i="1"/>
  <c r="HH4" i="1"/>
  <c r="HH3" i="1"/>
  <c r="M58" i="1"/>
  <c r="GW33" i="1"/>
  <c r="GW32" i="1"/>
  <c r="GW31" i="1"/>
  <c r="GW30" i="1"/>
  <c r="GW29" i="1"/>
  <c r="GW28" i="1"/>
  <c r="GW27" i="1"/>
  <c r="GW26" i="1"/>
  <c r="GW25" i="1"/>
  <c r="GW24" i="1"/>
  <c r="GW23" i="1"/>
  <c r="GW22" i="1"/>
  <c r="GW21" i="1"/>
  <c r="GW20" i="1"/>
  <c r="GW19" i="1"/>
  <c r="GW18" i="1"/>
  <c r="GW16" i="1"/>
  <c r="GW15" i="1"/>
  <c r="GW14" i="1"/>
  <c r="GW13" i="1"/>
  <c r="GW12" i="1"/>
  <c r="GW11" i="1"/>
  <c r="GW10" i="1"/>
  <c r="GW9" i="1"/>
  <c r="GW8" i="1"/>
  <c r="GW7" i="1"/>
  <c r="GW6" i="1"/>
  <c r="GW5" i="1"/>
  <c r="GW4" i="1"/>
  <c r="GW3" i="1"/>
  <c r="M55" i="1" l="1"/>
  <c r="GL33" i="1" l="1"/>
  <c r="GL32" i="1"/>
  <c r="GL31" i="1"/>
  <c r="GL30" i="1"/>
  <c r="GL29" i="1"/>
  <c r="GL28" i="1"/>
  <c r="GL27" i="1"/>
  <c r="GL26" i="1"/>
  <c r="GL25" i="1"/>
  <c r="GL24" i="1"/>
  <c r="GL23" i="1"/>
  <c r="GL22" i="1"/>
  <c r="GL21" i="1"/>
  <c r="GL20" i="1"/>
  <c r="GL19" i="1"/>
  <c r="GL18" i="1"/>
  <c r="GL17" i="1"/>
  <c r="GL16" i="1"/>
  <c r="GL15" i="1"/>
  <c r="GL14" i="1"/>
  <c r="GL13" i="1"/>
  <c r="GL12" i="1"/>
  <c r="GL11" i="1"/>
  <c r="GL10" i="1"/>
  <c r="GL9" i="1"/>
  <c r="GL8" i="1"/>
  <c r="GL7" i="1"/>
  <c r="GL6" i="1"/>
  <c r="GL5" i="1"/>
  <c r="GL4" i="1"/>
  <c r="GL3" i="1"/>
  <c r="M52" i="1"/>
  <c r="GA33" i="1"/>
  <c r="GA32" i="1"/>
  <c r="GA31" i="1"/>
  <c r="GA30" i="1"/>
  <c r="GA29" i="1"/>
  <c r="GA28" i="1"/>
  <c r="GA27" i="1"/>
  <c r="GA26" i="1"/>
  <c r="GA25" i="1"/>
  <c r="GA24" i="1"/>
  <c r="GA23" i="1"/>
  <c r="GA22" i="1"/>
  <c r="GA21" i="1"/>
  <c r="GA20" i="1"/>
  <c r="GA19" i="1"/>
  <c r="GA18" i="1"/>
  <c r="GA17" i="1"/>
  <c r="GA16" i="1"/>
  <c r="GA15" i="1"/>
  <c r="GA14" i="1"/>
  <c r="GA13" i="1"/>
  <c r="GA12" i="1"/>
  <c r="GA11" i="1"/>
  <c r="GA10" i="1"/>
  <c r="GA9" i="1"/>
  <c r="GA8" i="1"/>
  <c r="GA7" i="1"/>
  <c r="GA6" i="1"/>
  <c r="GA5" i="1"/>
  <c r="GA4" i="1"/>
  <c r="GA3" i="1"/>
  <c r="M49" i="1"/>
  <c r="FP33" i="1" l="1"/>
  <c r="FP32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P19" i="1"/>
  <c r="FP18" i="1"/>
  <c r="FP17" i="1"/>
  <c r="FP16" i="1"/>
  <c r="FP15" i="1"/>
  <c r="FP14" i="1"/>
  <c r="FP13" i="1"/>
  <c r="FP12" i="1"/>
  <c r="FP11" i="1"/>
  <c r="FP10" i="1"/>
  <c r="FP9" i="1"/>
  <c r="FP8" i="1"/>
  <c r="FP7" i="1"/>
  <c r="FP6" i="1"/>
  <c r="FP5" i="1"/>
  <c r="FP4" i="1"/>
  <c r="FP3" i="1"/>
  <c r="M46" i="1"/>
  <c r="FE38" i="1"/>
  <c r="FE37" i="1"/>
  <c r="FE36" i="1"/>
  <c r="FE35" i="1"/>
  <c r="FE34" i="1"/>
  <c r="FE33" i="1"/>
  <c r="FE32" i="1"/>
  <c r="FE31" i="1"/>
  <c r="FE30" i="1"/>
  <c r="FE29" i="1"/>
  <c r="FE28" i="1"/>
  <c r="FE27" i="1"/>
  <c r="FE26" i="1"/>
  <c r="FE25" i="1"/>
  <c r="FE24" i="1"/>
  <c r="FE23" i="1"/>
  <c r="FE22" i="1"/>
  <c r="FE21" i="1"/>
  <c r="FE20" i="1"/>
  <c r="FE19" i="1"/>
  <c r="FE18" i="1"/>
  <c r="FE17" i="1"/>
  <c r="FE16" i="1"/>
  <c r="FE15" i="1"/>
  <c r="FE14" i="1"/>
  <c r="FE13" i="1"/>
  <c r="FE12" i="1"/>
  <c r="FE11" i="1"/>
  <c r="FE10" i="1"/>
  <c r="FE9" i="1"/>
  <c r="FE8" i="1"/>
  <c r="FE7" i="1"/>
  <c r="FE6" i="1"/>
  <c r="FE5" i="1"/>
  <c r="FE4" i="1"/>
  <c r="FE3" i="1"/>
  <c r="ET33" i="1" l="1"/>
  <c r="ET32" i="1"/>
  <c r="ET31" i="1"/>
  <c r="ET30" i="1"/>
  <c r="ET29" i="1"/>
  <c r="ET28" i="1"/>
  <c r="ET27" i="1"/>
  <c r="ET26" i="1"/>
  <c r="ET25" i="1"/>
  <c r="ET24" i="1"/>
  <c r="ET23" i="1"/>
  <c r="ET22" i="1"/>
  <c r="ET21" i="1"/>
  <c r="ET20" i="1"/>
  <c r="ET19" i="1"/>
  <c r="ET18" i="1"/>
  <c r="ET17" i="1"/>
  <c r="ET16" i="1"/>
  <c r="ET15" i="1"/>
  <c r="ET14" i="1"/>
  <c r="ET13" i="1"/>
  <c r="ET12" i="1"/>
  <c r="ET11" i="1"/>
  <c r="ET10" i="1"/>
  <c r="ET9" i="1"/>
  <c r="ET8" i="1"/>
  <c r="ET7" i="1"/>
  <c r="ET6" i="1"/>
  <c r="ET5" i="1"/>
  <c r="ET4" i="1"/>
  <c r="ET3" i="1"/>
  <c r="M43" i="1"/>
  <c r="M40" i="1"/>
  <c r="EI33" i="1"/>
  <c r="EI32" i="1"/>
  <c r="EI31" i="1"/>
  <c r="EI30" i="1"/>
  <c r="EI29" i="1"/>
  <c r="EI28" i="1"/>
  <c r="EI27" i="1"/>
  <c r="EI26" i="1"/>
  <c r="EI25" i="1"/>
  <c r="EI24" i="1"/>
  <c r="EI23" i="1"/>
  <c r="EI22" i="1"/>
  <c r="EI21" i="1"/>
  <c r="EI20" i="1"/>
  <c r="EI19" i="1"/>
  <c r="EI18" i="1"/>
  <c r="EI17" i="1"/>
  <c r="EI16" i="1"/>
  <c r="EI15" i="1"/>
  <c r="EI14" i="1"/>
  <c r="EI13" i="1"/>
  <c r="EI12" i="1"/>
  <c r="EI11" i="1"/>
  <c r="EI10" i="1"/>
  <c r="EI9" i="1"/>
  <c r="EI8" i="1"/>
  <c r="EI7" i="1"/>
  <c r="EI6" i="1"/>
  <c r="EI5" i="1"/>
  <c r="EI4" i="1"/>
  <c r="EI3" i="1"/>
  <c r="M37" i="1"/>
  <c r="DX33" i="1" l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X6" i="1"/>
  <c r="DX5" i="1"/>
  <c r="DX4" i="1"/>
  <c r="DX3" i="1"/>
  <c r="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M6" i="1"/>
  <c r="DM5" i="1"/>
  <c r="DM4" i="1"/>
  <c r="DM3" i="1"/>
  <c r="M31" i="1"/>
  <c r="DB33" i="1"/>
  <c r="DB32" i="1"/>
  <c r="DB31" i="1"/>
  <c r="DB30" i="1"/>
  <c r="DB29" i="1"/>
  <c r="DB28" i="1"/>
  <c r="DB27" i="1"/>
  <c r="DB26" i="1"/>
  <c r="DB25" i="1"/>
  <c r="DB24" i="1"/>
  <c r="DB23" i="1"/>
  <c r="DB22" i="1"/>
  <c r="DB21" i="1"/>
  <c r="DB20" i="1"/>
  <c r="DB19" i="1"/>
  <c r="DB18" i="1"/>
  <c r="DB17" i="1"/>
  <c r="DB16" i="1"/>
  <c r="DB15" i="1"/>
  <c r="DB14" i="1"/>
  <c r="DB13" i="1"/>
  <c r="DB12" i="1"/>
  <c r="DB11" i="1"/>
  <c r="DB10" i="1"/>
  <c r="DB9" i="1"/>
  <c r="DB8" i="1"/>
  <c r="DB7" i="1"/>
  <c r="DB6" i="1"/>
  <c r="DB5" i="1"/>
  <c r="DB4" i="1"/>
  <c r="DB3" i="1"/>
  <c r="M28" i="1"/>
  <c r="CQ34" i="1"/>
  <c r="CQ35" i="1"/>
  <c r="CQ36" i="1"/>
  <c r="CQ37" i="1"/>
  <c r="CQ38" i="1"/>
  <c r="CQ33" i="1"/>
  <c r="CQ32" i="1"/>
  <c r="CQ31" i="1"/>
  <c r="CQ30" i="1"/>
  <c r="CQ29" i="1"/>
  <c r="CQ28" i="1"/>
  <c r="CQ27" i="1"/>
  <c r="CQ26" i="1"/>
  <c r="CQ25" i="1"/>
  <c r="CQ24" i="1"/>
  <c r="CQ23" i="1"/>
  <c r="CQ22" i="1"/>
  <c r="CQ21" i="1"/>
  <c r="CQ20" i="1"/>
  <c r="CQ19" i="1"/>
  <c r="CQ18" i="1"/>
  <c r="CQ17" i="1"/>
  <c r="CQ16" i="1"/>
  <c r="CQ15" i="1"/>
  <c r="CQ14" i="1"/>
  <c r="CQ13" i="1"/>
  <c r="CQ12" i="1"/>
  <c r="CQ11" i="1"/>
  <c r="CQ10" i="1"/>
  <c r="CQ9" i="1"/>
  <c r="CQ8" i="1"/>
  <c r="CQ7" i="1"/>
  <c r="CQ6" i="1"/>
  <c r="CQ5" i="1"/>
  <c r="CQ4" i="1"/>
  <c r="CQ3" i="1"/>
  <c r="M25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M22" i="1"/>
  <c r="BV11" i="1"/>
  <c r="BV3" i="1"/>
  <c r="BV4" i="1"/>
  <c r="BV5" i="1"/>
  <c r="BV6" i="1"/>
  <c r="BV7" i="1"/>
  <c r="BV8" i="1"/>
  <c r="BV9" i="1"/>
  <c r="BV10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K3" i="1"/>
  <c r="M19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0" i="1"/>
  <c r="BK9" i="1"/>
  <c r="BK8" i="1"/>
  <c r="BK7" i="1"/>
  <c r="BK6" i="1"/>
  <c r="BK5" i="1"/>
  <c r="BK4" i="1"/>
  <c r="C54" i="1"/>
  <c r="C53" i="1"/>
  <c r="E52" i="1"/>
  <c r="D52" i="1"/>
  <c r="C52" i="1"/>
  <c r="AO14" i="1"/>
  <c r="AO38" i="1"/>
  <c r="AO13" i="1"/>
  <c r="AD45" i="1"/>
  <c r="AD38" i="1"/>
  <c r="AD18" i="1"/>
  <c r="C46" i="1"/>
  <c r="C36" i="1"/>
  <c r="C1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3" i="1"/>
  <c r="M16" i="1"/>
  <c r="AZ3" i="1"/>
  <c r="BB47" i="1" s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47" i="1"/>
  <c r="AZ46" i="1"/>
  <c r="M13" i="1"/>
  <c r="AO37" i="1"/>
  <c r="AO45" i="1"/>
  <c r="AO44" i="1"/>
  <c r="AO43" i="1"/>
  <c r="AO42" i="1"/>
  <c r="AO41" i="1"/>
  <c r="AO40" i="1"/>
  <c r="AO39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2" i="1"/>
  <c r="AO11" i="1"/>
  <c r="AO10" i="1"/>
  <c r="AO9" i="1"/>
  <c r="AO8" i="1"/>
  <c r="AO7" i="1"/>
  <c r="AO6" i="1"/>
  <c r="AO5" i="1"/>
  <c r="AO4" i="1"/>
  <c r="AO3" i="1"/>
  <c r="AD3" i="1"/>
  <c r="M10" i="1"/>
  <c r="M4" i="1"/>
  <c r="AD44" i="1"/>
  <c r="AD43" i="1"/>
  <c r="AD42" i="1"/>
  <c r="AD41" i="1"/>
  <c r="AD40" i="1"/>
  <c r="AD39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M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7" i="1"/>
  <c r="C38" i="1"/>
  <c r="C39" i="1"/>
  <c r="C40" i="1"/>
  <c r="C41" i="1"/>
  <c r="C42" i="1"/>
  <c r="C43" i="1"/>
  <c r="C44" i="1"/>
  <c r="C45" i="1"/>
  <c r="C47" i="1"/>
  <c r="C48" i="1"/>
  <c r="C3" i="1"/>
  <c r="BL33" i="1" l="1"/>
  <c r="F52" i="1"/>
  <c r="G52" i="1" s="1"/>
  <c r="BW33" i="1"/>
  <c r="DC33" i="1"/>
  <c r="DN33" i="1"/>
  <c r="DY33" i="1"/>
  <c r="CH33" i="1"/>
  <c r="CR38" i="1"/>
</calcChain>
</file>

<file path=xl/sharedStrings.xml><?xml version="1.0" encoding="utf-8"?>
<sst xmlns="http://schemas.openxmlformats.org/spreadsheetml/2006/main" count="193" uniqueCount="57">
  <si>
    <t>Time</t>
  </si>
  <si>
    <t>CO Absorbance</t>
  </si>
  <si>
    <t>100 W</t>
  </si>
  <si>
    <t>2147.383-2130.027</t>
  </si>
  <si>
    <t>CO NT</t>
  </si>
  <si>
    <t>m</t>
  </si>
  <si>
    <t>old flux</t>
  </si>
  <si>
    <t>old m</t>
  </si>
  <si>
    <t>new flux</t>
  </si>
  <si>
    <t>50 W</t>
  </si>
  <si>
    <t>2146.901-2130.027</t>
  </si>
  <si>
    <t>100 W - TOO LOW</t>
  </si>
  <si>
    <t>50 W - TOO LOW</t>
  </si>
  <si>
    <t>100W  02/24/25</t>
  </si>
  <si>
    <t>100 W 300 mTorr 02/28/25</t>
  </si>
  <si>
    <t>100W  300mTorr 02/28/25</t>
  </si>
  <si>
    <t xml:space="preserve">Time </t>
  </si>
  <si>
    <t>Absorbance</t>
  </si>
  <si>
    <t>2151.240-2132.196, 2151.240-2132.196</t>
  </si>
  <si>
    <t>dep</t>
  </si>
  <si>
    <t>Ave</t>
  </si>
  <si>
    <t>St. Dev.</t>
  </si>
  <si>
    <t>N</t>
  </si>
  <si>
    <t>st. dev. for n=1</t>
  </si>
  <si>
    <t>relative error</t>
  </si>
  <si>
    <t>2149.312-2130.027</t>
  </si>
  <si>
    <t>100W 150 mTorr 07/29/25</t>
  </si>
  <si>
    <t>2154.133-2129.786</t>
  </si>
  <si>
    <t>100W 150 mTorr 07/30/25</t>
  </si>
  <si>
    <t>this seems unlikely</t>
  </si>
  <si>
    <t>2154.133-2133.160</t>
  </si>
  <si>
    <t>100W 150 mTorr 8/5/25</t>
  </si>
  <si>
    <t>100W 150 mTorr 8/6/25</t>
  </si>
  <si>
    <t>2151.240-2132.437</t>
  </si>
  <si>
    <t>2152.240-2122.313</t>
  </si>
  <si>
    <t>2148.588-2132.437</t>
  </si>
  <si>
    <t>2148.588-2122.313</t>
  </si>
  <si>
    <t>100W 150 mTorr 8/7/25</t>
  </si>
  <si>
    <t>100W 150 mTorr 8/10/25</t>
  </si>
  <si>
    <t>100W 150 mTorr 8/11/25</t>
  </si>
  <si>
    <t>2148.106-2132.437</t>
  </si>
  <si>
    <t>2148.10-2125.206</t>
  </si>
  <si>
    <t>100W 150 mTorr 8/12/25</t>
  </si>
  <si>
    <t>100W 150 mTorr 8/13/25</t>
  </si>
  <si>
    <t>2149.312-2131.232</t>
  </si>
  <si>
    <t>2149.312-2125.205</t>
  </si>
  <si>
    <t>2148.588-2131.232</t>
  </si>
  <si>
    <t>2148.588-2125.205</t>
  </si>
  <si>
    <t>100W 150 mTorr 8/14/25</t>
  </si>
  <si>
    <t>2145.696-2130.027</t>
  </si>
  <si>
    <t>100W 150 mTorr 8/15/25</t>
  </si>
  <si>
    <t>100W 150 mTorr 8/17/25</t>
  </si>
  <si>
    <t>100W 150 mTorr 8/25/25</t>
  </si>
  <si>
    <t>100W 150 mTorr 8/27/25</t>
  </si>
  <si>
    <t>2145.696-2130.991</t>
  </si>
  <si>
    <t>100W 150 mTorr 8/29/25</t>
  </si>
  <si>
    <t>100W 150 mTorr 9/2/25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</si>
</sst>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4" fontId="0" fillId="0" borderId="0" xfId="0" applyNumberFormat="1"/>
    <xf numFmtId="11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Destruction 100</a:t>
            </a:r>
            <a:r>
              <a:rPr lang="en-US" baseline="0"/>
              <a:t> W - TOO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CO Absorbance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385230803702345E-2"/>
                  <c:y val="-0.61848989448576219"/>
                </c:manualLayout>
              </c:layout>
              <c:numFmt formatCode="0.00E+0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Sheet1!$A$3:$A$48</c:f>
              <c:numCache>
                <c:formatCode>General</c:formatCode>
                <c:ptCount val="46"/>
                <c:pt idx="0">
                  <c:v>0</c:v>
                </c:pt>
                <c:pt idx="1">
                  <c:v>2.5</c:v>
                </c:pt>
                <c:pt idx="2">
                  <c:v>4.5</c:v>
                </c:pt>
                <c:pt idx="3">
                  <c:v>6.5</c:v>
                </c:pt>
                <c:pt idx="4">
                  <c:v>8.5</c:v>
                </c:pt>
                <c:pt idx="5">
                  <c:v>10.5</c:v>
                </c:pt>
                <c:pt idx="6">
                  <c:v>12.5</c:v>
                </c:pt>
                <c:pt idx="7">
                  <c:v>14.5</c:v>
                </c:pt>
                <c:pt idx="8">
                  <c:v>16.5</c:v>
                </c:pt>
                <c:pt idx="9">
                  <c:v>18.5</c:v>
                </c:pt>
                <c:pt idx="10">
                  <c:v>20.5</c:v>
                </c:pt>
                <c:pt idx="11">
                  <c:v>22.5</c:v>
                </c:pt>
                <c:pt idx="12">
                  <c:v>24.5</c:v>
                </c:pt>
                <c:pt idx="13">
                  <c:v>26.5</c:v>
                </c:pt>
                <c:pt idx="14">
                  <c:v>28.5</c:v>
                </c:pt>
                <c:pt idx="15">
                  <c:v>30.5</c:v>
                </c:pt>
                <c:pt idx="16">
                  <c:v>32.5</c:v>
                </c:pt>
                <c:pt idx="17">
                  <c:v>34.5</c:v>
                </c:pt>
                <c:pt idx="18">
                  <c:v>36.5</c:v>
                </c:pt>
                <c:pt idx="19">
                  <c:v>38.5</c:v>
                </c:pt>
                <c:pt idx="20">
                  <c:v>40.5</c:v>
                </c:pt>
                <c:pt idx="21">
                  <c:v>42.5</c:v>
                </c:pt>
                <c:pt idx="22">
                  <c:v>44.5</c:v>
                </c:pt>
                <c:pt idx="23">
                  <c:v>46.5</c:v>
                </c:pt>
                <c:pt idx="24">
                  <c:v>48.5</c:v>
                </c:pt>
                <c:pt idx="25">
                  <c:v>50.5</c:v>
                </c:pt>
                <c:pt idx="26">
                  <c:v>52.5</c:v>
                </c:pt>
                <c:pt idx="27">
                  <c:v>54.5</c:v>
                </c:pt>
                <c:pt idx="28">
                  <c:v>56.5</c:v>
                </c:pt>
                <c:pt idx="29">
                  <c:v>58.5</c:v>
                </c:pt>
                <c:pt idx="30">
                  <c:v>60.5</c:v>
                </c:pt>
                <c:pt idx="31">
                  <c:v>62.5</c:v>
                </c:pt>
                <c:pt idx="32">
                  <c:v>64.5</c:v>
                </c:pt>
                <c:pt idx="33">
                  <c:v>66.5</c:v>
                </c:pt>
                <c:pt idx="34">
                  <c:v>68.5</c:v>
                </c:pt>
                <c:pt idx="35">
                  <c:v>70.5</c:v>
                </c:pt>
                <c:pt idx="36">
                  <c:v>72.5</c:v>
                </c:pt>
                <c:pt idx="37">
                  <c:v>74.5</c:v>
                </c:pt>
                <c:pt idx="38">
                  <c:v>76.5</c:v>
                </c:pt>
                <c:pt idx="39">
                  <c:v>78.5</c:v>
                </c:pt>
                <c:pt idx="40">
                  <c:v>80.5</c:v>
                </c:pt>
                <c:pt idx="41">
                  <c:v>82.5</c:v>
                </c:pt>
                <c:pt idx="42">
                  <c:v>84.5</c:v>
                </c:pt>
                <c:pt idx="43">
                  <c:v>86.5</c:v>
                </c:pt>
                <c:pt idx="44">
                  <c:v>88.5</c:v>
                </c:pt>
                <c:pt idx="45">
                  <c:v>90.5</c:v>
                </c:pt>
              </c:numCache>
            </c:numRef>
          </c:xVal>
          <c:yVal>
            <c:numRef>
              <c:f>Sheet1!$C$3:$C$48</c:f>
              <c:numCache>
                <c:formatCode>0.00E+00</c:formatCode>
                <c:ptCount val="46"/>
                <c:pt idx="0">
                  <c:v>1.667318312873367E+17</c:v>
                </c:pt>
                <c:pt idx="1">
                  <c:v>1.6693741924206832E+17</c:v>
                </c:pt>
                <c:pt idx="2">
                  <c:v>1.667318312873367E+17</c:v>
                </c:pt>
                <c:pt idx="3">
                  <c:v>1.6611506742314189E+17</c:v>
                </c:pt>
                <c:pt idx="4">
                  <c:v>1.663206553778735E+17</c:v>
                </c:pt>
                <c:pt idx="5">
                  <c:v>1.6652624333260512E+17</c:v>
                </c:pt>
                <c:pt idx="6">
                  <c:v>1.6611506742314189E+17</c:v>
                </c:pt>
                <c:pt idx="7">
                  <c:v>1.6590947946841027E+17</c:v>
                </c:pt>
                <c:pt idx="8">
                  <c:v>1.6508712764948384E+17</c:v>
                </c:pt>
                <c:pt idx="9">
                  <c:v>1.6529271560421542E+17</c:v>
                </c:pt>
                <c:pt idx="10">
                  <c:v>1.6549830355894704E+17</c:v>
                </c:pt>
                <c:pt idx="11">
                  <c:v>1.6488153969475222E+17</c:v>
                </c:pt>
                <c:pt idx="12">
                  <c:v>1.6488153969475222E+17</c:v>
                </c:pt>
                <c:pt idx="13">
                  <c:v>1.6488153969475222E+17</c:v>
                </c:pt>
                <c:pt idx="14">
                  <c:v>1.6426477583055738E+17</c:v>
                </c:pt>
                <c:pt idx="15">
                  <c:v>1.6405918787582576E+17</c:v>
                </c:pt>
                <c:pt idx="16">
                  <c:v>1.6405918787582576E+17</c:v>
                </c:pt>
                <c:pt idx="17">
                  <c:v>1.6323683605689933E+17</c:v>
                </c:pt>
                <c:pt idx="18">
                  <c:v>1.6344242401163094E+17</c:v>
                </c:pt>
                <c:pt idx="19">
                  <c:v>1.6364801196636256E+17</c:v>
                </c:pt>
                <c:pt idx="20">
                  <c:v>1.6323683605689933E+17</c:v>
                </c:pt>
                <c:pt idx="21">
                  <c:v>1.628256601474361E+17</c:v>
                </c:pt>
                <c:pt idx="22">
                  <c:v>1.6262007219270448E+17</c:v>
                </c:pt>
                <c:pt idx="23">
                  <c:v>1.6241448423797286E+17</c:v>
                </c:pt>
                <c:pt idx="24">
                  <c:v>1.6220889628324125E+17</c:v>
                </c:pt>
                <c:pt idx="25">
                  <c:v>1.6179772037377805E+17</c:v>
                </c:pt>
                <c:pt idx="26">
                  <c:v>1.6220889628324125E+17</c:v>
                </c:pt>
                <c:pt idx="27">
                  <c:v>1.6179772037377805E+17</c:v>
                </c:pt>
                <c:pt idx="28">
                  <c:v>1.6200330832850966E+17</c:v>
                </c:pt>
                <c:pt idx="29">
                  <c:v>1.6159213241904643E+17</c:v>
                </c:pt>
                <c:pt idx="30">
                  <c:v>1.611809565095832E+17</c:v>
                </c:pt>
                <c:pt idx="31">
                  <c:v>1.6097536855485158E+17</c:v>
                </c:pt>
                <c:pt idx="32">
                  <c:v>1.6097536855485158E+17</c:v>
                </c:pt>
                <c:pt idx="33">
                  <c:v>1.6056419264538838E+17</c:v>
                </c:pt>
                <c:pt idx="34">
                  <c:v>1.6056419264538838E+17</c:v>
                </c:pt>
                <c:pt idx="35">
                  <c:v>1.6015301673592515E+17</c:v>
                </c:pt>
                <c:pt idx="36">
                  <c:v>1.5994742878119354E+17</c:v>
                </c:pt>
                <c:pt idx="37">
                  <c:v>1.6015301673592515E+17</c:v>
                </c:pt>
                <c:pt idx="38">
                  <c:v>1.5994742878119354E+17</c:v>
                </c:pt>
                <c:pt idx="39">
                  <c:v>1.5974184082646192E+17</c:v>
                </c:pt>
                <c:pt idx="40">
                  <c:v>1.5974184082646192E+17</c:v>
                </c:pt>
                <c:pt idx="41">
                  <c:v>1.591250769622671E+17</c:v>
                </c:pt>
                <c:pt idx="42">
                  <c:v>1.5891948900753549E+17</c:v>
                </c:pt>
                <c:pt idx="43">
                  <c:v>1.591250769622671E+17</c:v>
                </c:pt>
                <c:pt idx="44">
                  <c:v>1.5891948900753549E+17</c:v>
                </c:pt>
                <c:pt idx="45">
                  <c:v>1.5871390105280387E+17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7-4DFA-9CB0-9845C9EBC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427264"/>
        <c:axId val="1941431104"/>
      </c:scatterChart>
      <c:valAx>
        <c:axId val="19414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431104"/>
        <c:crosses val="autoZero"/>
        <c:crossBetween val="midCat"/>
      </c:valAx>
      <c:valAx>
        <c:axId val="19414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42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Destruction</a:t>
            </a:r>
            <a:r>
              <a:rPr lang="en-US" baseline="0"/>
              <a:t> 50 W - TOO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04411120227492"/>
                  <c:y val="-0.54854851594643528"/>
                </c:manualLayout>
              </c:layout>
              <c:numFmt formatCode="0.00E+0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Sheet1!$Q$3:$Q$36</c:f>
              <c:numCache>
                <c:formatCode>General</c:formatCode>
                <c:ptCount val="34"/>
                <c:pt idx="0">
                  <c:v>0</c:v>
                </c:pt>
                <c:pt idx="1">
                  <c:v>2.5</c:v>
                </c:pt>
                <c:pt idx="2">
                  <c:v>4.5</c:v>
                </c:pt>
                <c:pt idx="3">
                  <c:v>6.5</c:v>
                </c:pt>
                <c:pt idx="4">
                  <c:v>8.5</c:v>
                </c:pt>
                <c:pt idx="5">
                  <c:v>10.5</c:v>
                </c:pt>
                <c:pt idx="6">
                  <c:v>12.5</c:v>
                </c:pt>
                <c:pt idx="7">
                  <c:v>14.5</c:v>
                </c:pt>
                <c:pt idx="8">
                  <c:v>16.5</c:v>
                </c:pt>
                <c:pt idx="9">
                  <c:v>18.5</c:v>
                </c:pt>
                <c:pt idx="10">
                  <c:v>20.5</c:v>
                </c:pt>
                <c:pt idx="11">
                  <c:v>22.5</c:v>
                </c:pt>
                <c:pt idx="12">
                  <c:v>26.5</c:v>
                </c:pt>
                <c:pt idx="13">
                  <c:v>28.5</c:v>
                </c:pt>
                <c:pt idx="14">
                  <c:v>30.5</c:v>
                </c:pt>
                <c:pt idx="15">
                  <c:v>32.5</c:v>
                </c:pt>
                <c:pt idx="16">
                  <c:v>34.5</c:v>
                </c:pt>
                <c:pt idx="17">
                  <c:v>36.5</c:v>
                </c:pt>
                <c:pt idx="18">
                  <c:v>38.5</c:v>
                </c:pt>
                <c:pt idx="19">
                  <c:v>40.5</c:v>
                </c:pt>
                <c:pt idx="20">
                  <c:v>42.5</c:v>
                </c:pt>
                <c:pt idx="21">
                  <c:v>44.5</c:v>
                </c:pt>
                <c:pt idx="22">
                  <c:v>46.5</c:v>
                </c:pt>
                <c:pt idx="23">
                  <c:v>48.5</c:v>
                </c:pt>
                <c:pt idx="24">
                  <c:v>52.5</c:v>
                </c:pt>
                <c:pt idx="25">
                  <c:v>54.5</c:v>
                </c:pt>
                <c:pt idx="26">
                  <c:v>56.5</c:v>
                </c:pt>
                <c:pt idx="27">
                  <c:v>58.5</c:v>
                </c:pt>
                <c:pt idx="28">
                  <c:v>60.5</c:v>
                </c:pt>
                <c:pt idx="29">
                  <c:v>62.5</c:v>
                </c:pt>
                <c:pt idx="30">
                  <c:v>64.5</c:v>
                </c:pt>
                <c:pt idx="31">
                  <c:v>66.5</c:v>
                </c:pt>
                <c:pt idx="32">
                  <c:v>68.5</c:v>
                </c:pt>
                <c:pt idx="33">
                  <c:v>70.5</c:v>
                </c:pt>
              </c:numCache>
            </c:numRef>
          </c:xVal>
          <c:yVal>
            <c:numRef>
              <c:f>Sheet1!$S$3:$S$36</c:f>
              <c:numCache>
                <c:formatCode>0.00E+00</c:formatCode>
                <c:ptCount val="34"/>
                <c:pt idx="0">
                  <c:v>1.7269388197455344E+17</c:v>
                </c:pt>
                <c:pt idx="1">
                  <c:v>1.7228270606509021E+17</c:v>
                </c:pt>
                <c:pt idx="2">
                  <c:v>1.7207711811035859E+17</c:v>
                </c:pt>
                <c:pt idx="3">
                  <c:v>1.7248829401982182E+17</c:v>
                </c:pt>
                <c:pt idx="4">
                  <c:v>1.7228270606509021E+17</c:v>
                </c:pt>
                <c:pt idx="5">
                  <c:v>1.7187153015562698E+17</c:v>
                </c:pt>
                <c:pt idx="6">
                  <c:v>1.7248829401982182E+17</c:v>
                </c:pt>
                <c:pt idx="7">
                  <c:v>1.7269388197455344E+17</c:v>
                </c:pt>
                <c:pt idx="8">
                  <c:v>1.7228270606509021E+17</c:v>
                </c:pt>
                <c:pt idx="9">
                  <c:v>1.7248829401982182E+17</c:v>
                </c:pt>
                <c:pt idx="10">
                  <c:v>1.7187153015562698E+17</c:v>
                </c:pt>
                <c:pt idx="11">
                  <c:v>1.7187153015562698E+17</c:v>
                </c:pt>
                <c:pt idx="12">
                  <c:v>1.7125476629143216E+17</c:v>
                </c:pt>
                <c:pt idx="13">
                  <c:v>1.7228270606509021E+17</c:v>
                </c:pt>
                <c:pt idx="14">
                  <c:v>1.7084359038196893E+17</c:v>
                </c:pt>
                <c:pt idx="15">
                  <c:v>1.7146035424616378E+17</c:v>
                </c:pt>
                <c:pt idx="16">
                  <c:v>1.7125476629143216E+17</c:v>
                </c:pt>
                <c:pt idx="17">
                  <c:v>1.7084359038196893E+17</c:v>
                </c:pt>
                <c:pt idx="18">
                  <c:v>1.7104917833670054E+17</c:v>
                </c:pt>
                <c:pt idx="19">
                  <c:v>1.7063800242723731E+17</c:v>
                </c:pt>
                <c:pt idx="20">
                  <c:v>1.7104917833670054E+17</c:v>
                </c:pt>
                <c:pt idx="21">
                  <c:v>1.7084359038196893E+17</c:v>
                </c:pt>
                <c:pt idx="22">
                  <c:v>1.704324144725057E+17</c:v>
                </c:pt>
                <c:pt idx="23">
                  <c:v>1.7022682651777408E+17</c:v>
                </c:pt>
                <c:pt idx="24">
                  <c:v>1.7022682651777408E+17</c:v>
                </c:pt>
                <c:pt idx="25">
                  <c:v>1.7022682651777408E+17</c:v>
                </c:pt>
                <c:pt idx="26">
                  <c:v>1.7022682651777408E+17</c:v>
                </c:pt>
                <c:pt idx="27">
                  <c:v>1.700212385630425E+17</c:v>
                </c:pt>
                <c:pt idx="28">
                  <c:v>1.6919888674411603E+17</c:v>
                </c:pt>
                <c:pt idx="29">
                  <c:v>1.6940447469884765E+17</c:v>
                </c:pt>
                <c:pt idx="30">
                  <c:v>1.687877108346528E+17</c:v>
                </c:pt>
                <c:pt idx="31">
                  <c:v>1.6899329878938442E+17</c:v>
                </c:pt>
                <c:pt idx="32">
                  <c:v>1.687877108346528E+17</c:v>
                </c:pt>
                <c:pt idx="33">
                  <c:v>1.6899329878938442E+17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7-4304-B405-17D38F193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388112"/>
        <c:axId val="1611387152"/>
      </c:scatterChart>
      <c:valAx>
        <c:axId val="16113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387152"/>
        <c:crosses val="autoZero"/>
        <c:crossBetween val="midCat"/>
      </c:valAx>
      <c:valAx>
        <c:axId val="16113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3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Destructuion</a:t>
            </a:r>
            <a:r>
              <a:rPr lang="en-US" baseline="0"/>
              <a:t> 100 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832020997375327E-2"/>
                  <c:y val="-0.59609580052493438"/>
                </c:manualLayout>
              </c:layout>
              <c:numFmt formatCode="0.00E+0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Sheet1!$AB$3:$AB$45</c:f>
              <c:numCache>
                <c:formatCode>General</c:formatCode>
                <c:ptCount val="43"/>
                <c:pt idx="0">
                  <c:v>3</c:v>
                </c:pt>
                <c:pt idx="1">
                  <c:v>4.5</c:v>
                </c:pt>
                <c:pt idx="2">
                  <c:v>6.5</c:v>
                </c:pt>
                <c:pt idx="3">
                  <c:v>8.5</c:v>
                </c:pt>
                <c:pt idx="4">
                  <c:v>10.5</c:v>
                </c:pt>
                <c:pt idx="5">
                  <c:v>12.5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22.5</c:v>
                </c:pt>
                <c:pt idx="11">
                  <c:v>24.5</c:v>
                </c:pt>
                <c:pt idx="12">
                  <c:v>26.5</c:v>
                </c:pt>
                <c:pt idx="13">
                  <c:v>28.5</c:v>
                </c:pt>
                <c:pt idx="14">
                  <c:v>30.5</c:v>
                </c:pt>
                <c:pt idx="15">
                  <c:v>32.5</c:v>
                </c:pt>
                <c:pt idx="16">
                  <c:v>34.5</c:v>
                </c:pt>
                <c:pt idx="17">
                  <c:v>36.5</c:v>
                </c:pt>
                <c:pt idx="18">
                  <c:v>38.5</c:v>
                </c:pt>
                <c:pt idx="19">
                  <c:v>40.5</c:v>
                </c:pt>
                <c:pt idx="20">
                  <c:v>42.5</c:v>
                </c:pt>
                <c:pt idx="21">
                  <c:v>44.5</c:v>
                </c:pt>
                <c:pt idx="22">
                  <c:v>46.5</c:v>
                </c:pt>
                <c:pt idx="23">
                  <c:v>48.5</c:v>
                </c:pt>
                <c:pt idx="24">
                  <c:v>50.5</c:v>
                </c:pt>
                <c:pt idx="25">
                  <c:v>52.5</c:v>
                </c:pt>
                <c:pt idx="26">
                  <c:v>54.5</c:v>
                </c:pt>
                <c:pt idx="27">
                  <c:v>56.5</c:v>
                </c:pt>
                <c:pt idx="28">
                  <c:v>58.5</c:v>
                </c:pt>
                <c:pt idx="29">
                  <c:v>60.5</c:v>
                </c:pt>
                <c:pt idx="30">
                  <c:v>62.5</c:v>
                </c:pt>
                <c:pt idx="31">
                  <c:v>64.5</c:v>
                </c:pt>
                <c:pt idx="32">
                  <c:v>66.5</c:v>
                </c:pt>
                <c:pt idx="33">
                  <c:v>68.5</c:v>
                </c:pt>
                <c:pt idx="34">
                  <c:v>70.5</c:v>
                </c:pt>
                <c:pt idx="35">
                  <c:v>75</c:v>
                </c:pt>
                <c:pt idx="36">
                  <c:v>78.5</c:v>
                </c:pt>
                <c:pt idx="37">
                  <c:v>80.5</c:v>
                </c:pt>
                <c:pt idx="38">
                  <c:v>82.5</c:v>
                </c:pt>
                <c:pt idx="39">
                  <c:v>84.5</c:v>
                </c:pt>
                <c:pt idx="40">
                  <c:v>86.5</c:v>
                </c:pt>
                <c:pt idx="41">
                  <c:v>88.5</c:v>
                </c:pt>
                <c:pt idx="42">
                  <c:v>90.5</c:v>
                </c:pt>
              </c:numCache>
            </c:numRef>
          </c:xVal>
          <c:yVal>
            <c:numRef>
              <c:f>Sheet1!$AD$3:$AD$45</c:f>
              <c:numCache>
                <c:formatCode>0.00E+00</c:formatCode>
                <c:ptCount val="43"/>
                <c:pt idx="0">
                  <c:v>1.8811297857942429E+17</c:v>
                </c:pt>
                <c:pt idx="1">
                  <c:v>1.8811297857942429E+17</c:v>
                </c:pt>
                <c:pt idx="2">
                  <c:v>1.8770180266996106E+17</c:v>
                </c:pt>
                <c:pt idx="3">
                  <c:v>1.8790739062469267E+17</c:v>
                </c:pt>
                <c:pt idx="4">
                  <c:v>1.8749621471522944E+17</c:v>
                </c:pt>
                <c:pt idx="5">
                  <c:v>1.8667386289630298E+17</c:v>
                </c:pt>
                <c:pt idx="6">
                  <c:v>1.8646827494157139E+17</c:v>
                </c:pt>
                <c:pt idx="7">
                  <c:v>1.8626268698683978E+17</c:v>
                </c:pt>
                <c:pt idx="8">
                  <c:v>1.8646827494157139E+17</c:v>
                </c:pt>
                <c:pt idx="9">
                  <c:v>1.8585151107737658E+17</c:v>
                </c:pt>
                <c:pt idx="10">
                  <c:v>1.8585151107737658E+17</c:v>
                </c:pt>
                <c:pt idx="11">
                  <c:v>1.8585151107737658E+17</c:v>
                </c:pt>
                <c:pt idx="12">
                  <c:v>1.8544033516791334E+17</c:v>
                </c:pt>
                <c:pt idx="13">
                  <c:v>1.8502915925845011E+17</c:v>
                </c:pt>
                <c:pt idx="14">
                  <c:v>1.852347472131817E+17</c:v>
                </c:pt>
                <c:pt idx="15">
                  <c:v>1.852347472131817E+17</c:v>
                </c:pt>
                <c:pt idx="16">
                  <c:v>1.8502915925845011E+17</c:v>
                </c:pt>
                <c:pt idx="17">
                  <c:v>1.8461798334898688E+17</c:v>
                </c:pt>
                <c:pt idx="18">
                  <c:v>1.8420680743952365E+17</c:v>
                </c:pt>
                <c:pt idx="19">
                  <c:v>1.8359004357532883E+17</c:v>
                </c:pt>
                <c:pt idx="20">
                  <c:v>1.8359004357532883E+17</c:v>
                </c:pt>
                <c:pt idx="21">
                  <c:v>1.8297327971113402E+17</c:v>
                </c:pt>
                <c:pt idx="22">
                  <c:v>1.8256210380167078E+17</c:v>
                </c:pt>
                <c:pt idx="23">
                  <c:v>1.8256210380167078E+17</c:v>
                </c:pt>
                <c:pt idx="24">
                  <c:v>1.8256210380167078E+17</c:v>
                </c:pt>
                <c:pt idx="25">
                  <c:v>1.8215092789220755E+17</c:v>
                </c:pt>
                <c:pt idx="26">
                  <c:v>1.8153416402801274E+17</c:v>
                </c:pt>
                <c:pt idx="27">
                  <c:v>1.8153416402801274E+17</c:v>
                </c:pt>
                <c:pt idx="28">
                  <c:v>1.8153416402801274E+17</c:v>
                </c:pt>
                <c:pt idx="29">
                  <c:v>1.811229881185495E+17</c:v>
                </c:pt>
                <c:pt idx="30">
                  <c:v>1.8050622425435469E+17</c:v>
                </c:pt>
                <c:pt idx="31">
                  <c:v>1.8071181220908627E+17</c:v>
                </c:pt>
                <c:pt idx="32">
                  <c:v>1.8071181220908627E+17</c:v>
                </c:pt>
                <c:pt idx="33">
                  <c:v>1.7968387243542822E+17</c:v>
                </c:pt>
                <c:pt idx="34">
                  <c:v>1.7906710857123341E+17</c:v>
                </c:pt>
                <c:pt idx="35">
                  <c:v>1.7927269652596499E+17</c:v>
                </c:pt>
                <c:pt idx="36">
                  <c:v>1.7803916879757533E+17</c:v>
                </c:pt>
                <c:pt idx="37">
                  <c:v>1.7803916879757533E+17</c:v>
                </c:pt>
                <c:pt idx="38">
                  <c:v>1.776279928881121E+17</c:v>
                </c:pt>
                <c:pt idx="39">
                  <c:v>1.7742240493338048E+17</c:v>
                </c:pt>
                <c:pt idx="40">
                  <c:v>1.7701122902391728E+17</c:v>
                </c:pt>
                <c:pt idx="41">
                  <c:v>1.7721681697864886E+17</c:v>
                </c:pt>
                <c:pt idx="42">
                  <c:v>1.7639446515972243E+17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57-4F21-BA2A-A78443EF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790112"/>
        <c:axId val="1498790592"/>
      </c:scatterChart>
      <c:valAx>
        <c:axId val="149879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90592"/>
        <c:crosses val="autoZero"/>
        <c:crossBetween val="midCat"/>
      </c:valAx>
      <c:valAx>
        <c:axId val="14987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9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Destructuion</a:t>
            </a:r>
            <a:r>
              <a:rPr lang="en-US" baseline="0"/>
              <a:t> 100 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832020997375327E-2"/>
                  <c:y val="-0.59609580052493438"/>
                </c:manualLayout>
              </c:layout>
              <c:numFmt formatCode="0.00E+0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Sheet1!$AM$3:$AM$45</c:f>
              <c:numCache>
                <c:formatCode>General</c:formatCode>
                <c:ptCount val="43"/>
                <c:pt idx="0">
                  <c:v>2.5</c:v>
                </c:pt>
                <c:pt idx="1">
                  <c:v>4.5</c:v>
                </c:pt>
                <c:pt idx="2">
                  <c:v>6.5</c:v>
                </c:pt>
                <c:pt idx="3">
                  <c:v>8.5</c:v>
                </c:pt>
                <c:pt idx="4">
                  <c:v>10.5</c:v>
                </c:pt>
                <c:pt idx="5">
                  <c:v>12.5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22.5</c:v>
                </c:pt>
                <c:pt idx="11">
                  <c:v>24.5</c:v>
                </c:pt>
                <c:pt idx="12">
                  <c:v>26.5</c:v>
                </c:pt>
                <c:pt idx="13">
                  <c:v>28.5</c:v>
                </c:pt>
                <c:pt idx="14">
                  <c:v>32.5</c:v>
                </c:pt>
                <c:pt idx="15">
                  <c:v>34.5</c:v>
                </c:pt>
                <c:pt idx="16">
                  <c:v>36.5</c:v>
                </c:pt>
                <c:pt idx="17">
                  <c:v>38.5</c:v>
                </c:pt>
                <c:pt idx="18">
                  <c:v>40.5</c:v>
                </c:pt>
                <c:pt idx="19">
                  <c:v>42.5</c:v>
                </c:pt>
                <c:pt idx="20">
                  <c:v>44.5</c:v>
                </c:pt>
                <c:pt idx="21">
                  <c:v>46.5</c:v>
                </c:pt>
                <c:pt idx="22">
                  <c:v>48.5</c:v>
                </c:pt>
                <c:pt idx="23">
                  <c:v>51.5</c:v>
                </c:pt>
                <c:pt idx="24">
                  <c:v>52.5</c:v>
                </c:pt>
                <c:pt idx="25">
                  <c:v>54.5</c:v>
                </c:pt>
                <c:pt idx="26">
                  <c:v>56.5</c:v>
                </c:pt>
                <c:pt idx="27">
                  <c:v>58.5</c:v>
                </c:pt>
                <c:pt idx="28">
                  <c:v>60.5</c:v>
                </c:pt>
                <c:pt idx="29">
                  <c:v>64.5</c:v>
                </c:pt>
                <c:pt idx="30">
                  <c:v>66.5</c:v>
                </c:pt>
                <c:pt idx="31">
                  <c:v>68.5</c:v>
                </c:pt>
                <c:pt idx="32">
                  <c:v>70.5</c:v>
                </c:pt>
                <c:pt idx="33">
                  <c:v>72.5</c:v>
                </c:pt>
                <c:pt idx="34">
                  <c:v>74.5</c:v>
                </c:pt>
                <c:pt idx="35">
                  <c:v>76.5</c:v>
                </c:pt>
                <c:pt idx="36">
                  <c:v>78.5</c:v>
                </c:pt>
                <c:pt idx="37">
                  <c:v>80.5</c:v>
                </c:pt>
                <c:pt idx="38">
                  <c:v>82.5</c:v>
                </c:pt>
                <c:pt idx="39">
                  <c:v>84.5</c:v>
                </c:pt>
                <c:pt idx="40">
                  <c:v>86.5</c:v>
                </c:pt>
                <c:pt idx="41">
                  <c:v>88.5</c:v>
                </c:pt>
                <c:pt idx="42">
                  <c:v>90</c:v>
                </c:pt>
              </c:numCache>
            </c:numRef>
          </c:xVal>
          <c:yVal>
            <c:numRef>
              <c:f>Sheet1!$AO$3:$AO$45</c:f>
              <c:numCache>
                <c:formatCode>0.00E+00</c:formatCode>
                <c:ptCount val="43"/>
                <c:pt idx="0">
                  <c:v>1.831788676658656E+17</c:v>
                </c:pt>
                <c:pt idx="1">
                  <c:v>1.8359004357532883E+17</c:v>
                </c:pt>
                <c:pt idx="2">
                  <c:v>1.8173975198274432E+17</c:v>
                </c:pt>
                <c:pt idx="3">
                  <c:v>1.8235651584693914E+17</c:v>
                </c:pt>
                <c:pt idx="4">
                  <c:v>1.8276769175640237E+17</c:v>
                </c:pt>
                <c:pt idx="5">
                  <c:v>1.8194533993747597E+17</c:v>
                </c:pt>
                <c:pt idx="6">
                  <c:v>1.8173975198274432E+17</c:v>
                </c:pt>
                <c:pt idx="7">
                  <c:v>1.8215092789220755E+17</c:v>
                </c:pt>
                <c:pt idx="8">
                  <c:v>1.8153416402801274E+17</c:v>
                </c:pt>
                <c:pt idx="9">
                  <c:v>1.8153416402801274E+17</c:v>
                </c:pt>
                <c:pt idx="10">
                  <c:v>1.811229881185495E+17</c:v>
                </c:pt>
                <c:pt idx="11">
                  <c:v>1.8091740016381786E+17</c:v>
                </c:pt>
                <c:pt idx="12">
                  <c:v>1.8153416402801274E+17</c:v>
                </c:pt>
                <c:pt idx="13">
                  <c:v>1.8071181220908627E+17</c:v>
                </c:pt>
                <c:pt idx="14">
                  <c:v>1.8153416402801274E+17</c:v>
                </c:pt>
                <c:pt idx="15">
                  <c:v>1.8050622425435469E+17</c:v>
                </c:pt>
                <c:pt idx="16">
                  <c:v>1.8050622425435469E+17</c:v>
                </c:pt>
                <c:pt idx="17">
                  <c:v>1.8071181220908627E+17</c:v>
                </c:pt>
                <c:pt idx="18">
                  <c:v>1.8030063629962304E+17</c:v>
                </c:pt>
                <c:pt idx="19">
                  <c:v>1.8050622425435469E+17</c:v>
                </c:pt>
                <c:pt idx="20">
                  <c:v>1.7947828448069658E+17</c:v>
                </c:pt>
                <c:pt idx="21">
                  <c:v>1.8071181220908627E+17</c:v>
                </c:pt>
                <c:pt idx="22">
                  <c:v>1.8071181220908627E+17</c:v>
                </c:pt>
                <c:pt idx="23">
                  <c:v>1.7988946039015981E+17</c:v>
                </c:pt>
                <c:pt idx="24">
                  <c:v>1.7988946039015981E+17</c:v>
                </c:pt>
                <c:pt idx="25">
                  <c:v>1.7947828448069658E+17</c:v>
                </c:pt>
                <c:pt idx="26">
                  <c:v>1.7968387243542822E+17</c:v>
                </c:pt>
                <c:pt idx="27">
                  <c:v>1.7968387243542822E+17</c:v>
                </c:pt>
                <c:pt idx="28">
                  <c:v>1.7886152061650176E+17</c:v>
                </c:pt>
                <c:pt idx="29">
                  <c:v>1.7947828448069658E+17</c:v>
                </c:pt>
                <c:pt idx="30">
                  <c:v>1.7865593266177018E+17</c:v>
                </c:pt>
                <c:pt idx="31">
                  <c:v>1.7947828448069658E+17</c:v>
                </c:pt>
                <c:pt idx="32">
                  <c:v>1.7947828448069658E+17</c:v>
                </c:pt>
                <c:pt idx="33">
                  <c:v>1.7886152061650176E+17</c:v>
                </c:pt>
                <c:pt idx="34">
                  <c:v>1.7886152061650176E+17</c:v>
                </c:pt>
                <c:pt idx="35">
                  <c:v>1.7824475675230694E+17</c:v>
                </c:pt>
                <c:pt idx="36">
                  <c:v>1.7803916879757533E+17</c:v>
                </c:pt>
                <c:pt idx="37">
                  <c:v>1.7803916879757533E+17</c:v>
                </c:pt>
                <c:pt idx="38">
                  <c:v>1.7803916879757533E+17</c:v>
                </c:pt>
                <c:pt idx="39">
                  <c:v>1.7783358084284371E+17</c:v>
                </c:pt>
                <c:pt idx="40">
                  <c:v>1.7742240493338048E+17</c:v>
                </c:pt>
                <c:pt idx="41">
                  <c:v>1.7680564106918566E+17</c:v>
                </c:pt>
                <c:pt idx="42">
                  <c:v>1.7742240493338048E+17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C2-4393-9C13-2A13BD04E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790112"/>
        <c:axId val="1498790592"/>
      </c:scatterChart>
      <c:valAx>
        <c:axId val="149879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90592"/>
        <c:crosses val="autoZero"/>
        <c:crossBetween val="midCat"/>
      </c:valAx>
      <c:valAx>
        <c:axId val="14987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9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300</a:t>
            </a:r>
            <a:r>
              <a:rPr lang="en-US" baseline="0"/>
              <a:t> mTorr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Sheet1!$AZ$2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939175866321995E-2"/>
                  <c:y val="-0.52762831729367166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Sheet1!$AX$3:$AX$47</c:f>
              <c:numCache>
                <c:formatCode>General</c:formatCode>
                <c:ptCount val="45"/>
                <c:pt idx="0">
                  <c:v>0</c:v>
                </c:pt>
                <c:pt idx="1">
                  <c:v>2.5</c:v>
                </c:pt>
                <c:pt idx="2">
                  <c:v>4.5</c:v>
                </c:pt>
                <c:pt idx="3">
                  <c:v>6.5</c:v>
                </c:pt>
                <c:pt idx="4">
                  <c:v>8.5</c:v>
                </c:pt>
                <c:pt idx="5">
                  <c:v>10.5</c:v>
                </c:pt>
                <c:pt idx="6">
                  <c:v>12.5</c:v>
                </c:pt>
                <c:pt idx="7">
                  <c:v>14.5</c:v>
                </c:pt>
                <c:pt idx="8">
                  <c:v>16.5</c:v>
                </c:pt>
                <c:pt idx="9">
                  <c:v>18.5</c:v>
                </c:pt>
                <c:pt idx="10">
                  <c:v>20.5</c:v>
                </c:pt>
                <c:pt idx="11">
                  <c:v>22.5</c:v>
                </c:pt>
                <c:pt idx="12">
                  <c:v>24.5</c:v>
                </c:pt>
                <c:pt idx="13">
                  <c:v>26.5</c:v>
                </c:pt>
                <c:pt idx="14">
                  <c:v>28.5</c:v>
                </c:pt>
                <c:pt idx="15">
                  <c:v>30.5</c:v>
                </c:pt>
                <c:pt idx="16">
                  <c:v>32.5</c:v>
                </c:pt>
                <c:pt idx="17">
                  <c:v>34.5</c:v>
                </c:pt>
                <c:pt idx="18">
                  <c:v>36.5</c:v>
                </c:pt>
                <c:pt idx="19">
                  <c:v>38.5</c:v>
                </c:pt>
                <c:pt idx="20">
                  <c:v>40.5</c:v>
                </c:pt>
                <c:pt idx="21">
                  <c:v>42.5</c:v>
                </c:pt>
                <c:pt idx="22">
                  <c:v>44.5</c:v>
                </c:pt>
                <c:pt idx="23">
                  <c:v>46.5</c:v>
                </c:pt>
                <c:pt idx="24">
                  <c:v>48.5</c:v>
                </c:pt>
                <c:pt idx="25">
                  <c:v>50.5</c:v>
                </c:pt>
                <c:pt idx="26">
                  <c:v>52.5</c:v>
                </c:pt>
                <c:pt idx="27">
                  <c:v>54.5</c:v>
                </c:pt>
                <c:pt idx="28">
                  <c:v>56.5</c:v>
                </c:pt>
                <c:pt idx="29">
                  <c:v>60.5</c:v>
                </c:pt>
                <c:pt idx="30">
                  <c:v>62.5</c:v>
                </c:pt>
                <c:pt idx="31">
                  <c:v>64.5</c:v>
                </c:pt>
                <c:pt idx="32">
                  <c:v>66.5</c:v>
                </c:pt>
                <c:pt idx="33">
                  <c:v>68.5</c:v>
                </c:pt>
                <c:pt idx="34">
                  <c:v>70.5</c:v>
                </c:pt>
                <c:pt idx="35">
                  <c:v>72.5</c:v>
                </c:pt>
                <c:pt idx="36">
                  <c:v>74.5</c:v>
                </c:pt>
                <c:pt idx="37">
                  <c:v>76.5</c:v>
                </c:pt>
                <c:pt idx="38">
                  <c:v>78.5</c:v>
                </c:pt>
                <c:pt idx="39">
                  <c:v>80.5</c:v>
                </c:pt>
                <c:pt idx="40">
                  <c:v>82.5</c:v>
                </c:pt>
                <c:pt idx="41">
                  <c:v>84.5</c:v>
                </c:pt>
                <c:pt idx="42">
                  <c:v>86.5</c:v>
                </c:pt>
                <c:pt idx="43">
                  <c:v>88.5</c:v>
                </c:pt>
                <c:pt idx="44">
                  <c:v>90</c:v>
                </c:pt>
              </c:numCache>
            </c:numRef>
          </c:xVal>
          <c:yVal>
            <c:numRef>
              <c:f>Sheet1!$AZ$3:$AZ$47</c:f>
              <c:numCache>
                <c:formatCode>0.000E+00</c:formatCode>
                <c:ptCount val="45"/>
                <c:pt idx="0">
                  <c:v>2.144282367850705E+17</c:v>
                </c:pt>
                <c:pt idx="1">
                  <c:v>2.1381147292087568E+17</c:v>
                </c:pt>
                <c:pt idx="2">
                  <c:v>2.1340029701141245E+17</c:v>
                </c:pt>
                <c:pt idx="3">
                  <c:v>2.1319470905668083E+17</c:v>
                </c:pt>
                <c:pt idx="4">
                  <c:v>2.127835331472176E+17</c:v>
                </c:pt>
                <c:pt idx="5">
                  <c:v>2.127835331472176E+17</c:v>
                </c:pt>
                <c:pt idx="6">
                  <c:v>2.1196118132829117E+17</c:v>
                </c:pt>
                <c:pt idx="7">
                  <c:v>2.1134441746409635E+17</c:v>
                </c:pt>
                <c:pt idx="8">
                  <c:v>2.1093324155463312E+17</c:v>
                </c:pt>
                <c:pt idx="9">
                  <c:v>2.107276535999015E+17</c:v>
                </c:pt>
                <c:pt idx="10">
                  <c:v>2.1011088973570666E+17</c:v>
                </c:pt>
                <c:pt idx="11">
                  <c:v>2.0908294996204861E+17</c:v>
                </c:pt>
                <c:pt idx="12">
                  <c:v>2.0867177405258538E+17</c:v>
                </c:pt>
                <c:pt idx="13">
                  <c:v>2.0908294996204861E+17</c:v>
                </c:pt>
                <c:pt idx="14">
                  <c:v>2.0826059814312214E+17</c:v>
                </c:pt>
                <c:pt idx="15">
                  <c:v>2.0846618609785379E+17</c:v>
                </c:pt>
                <c:pt idx="16">
                  <c:v>2.0764383427892733E+17</c:v>
                </c:pt>
                <c:pt idx="17">
                  <c:v>2.0784942223365894E+17</c:v>
                </c:pt>
                <c:pt idx="18">
                  <c:v>2.0743824632419571E+17</c:v>
                </c:pt>
                <c:pt idx="19">
                  <c:v>2.072326583694641E+17</c:v>
                </c:pt>
                <c:pt idx="20">
                  <c:v>2.064103065505377E+17</c:v>
                </c:pt>
                <c:pt idx="21">
                  <c:v>2.0558795473161123E+17</c:v>
                </c:pt>
                <c:pt idx="22">
                  <c:v>2.05176778822148E+17</c:v>
                </c:pt>
                <c:pt idx="23">
                  <c:v>2.0394325109375837E+17</c:v>
                </c:pt>
                <c:pt idx="24">
                  <c:v>2.0456001495795318E+17</c:v>
                </c:pt>
                <c:pt idx="25">
                  <c:v>2.0476560291268477E+17</c:v>
                </c:pt>
                <c:pt idx="26">
                  <c:v>2.0414883904848995E+17</c:v>
                </c:pt>
                <c:pt idx="27">
                  <c:v>2.0373766313902672E+17</c:v>
                </c:pt>
                <c:pt idx="28">
                  <c:v>2.0353207518429514E+17</c:v>
                </c:pt>
                <c:pt idx="29">
                  <c:v>2.0291531132010026E+17</c:v>
                </c:pt>
                <c:pt idx="30">
                  <c:v>2.0229854745590544E+17</c:v>
                </c:pt>
                <c:pt idx="31">
                  <c:v>2.0127060768224739E+17</c:v>
                </c:pt>
                <c:pt idx="32">
                  <c:v>2.0127060768224739E+17</c:v>
                </c:pt>
                <c:pt idx="33">
                  <c:v>2.0065384381805258E+17</c:v>
                </c:pt>
                <c:pt idx="34">
                  <c:v>2.0044825586332093E+17</c:v>
                </c:pt>
                <c:pt idx="35">
                  <c:v>2.0024266790858934E+17</c:v>
                </c:pt>
                <c:pt idx="36">
                  <c:v>2.000370799538577E+17</c:v>
                </c:pt>
                <c:pt idx="37">
                  <c:v>1.9859796427073642E+17</c:v>
                </c:pt>
                <c:pt idx="38">
                  <c:v>1.992147281349313E+17</c:v>
                </c:pt>
                <c:pt idx="39">
                  <c:v>1.9880355222546806E+17</c:v>
                </c:pt>
                <c:pt idx="40">
                  <c:v>1.9818678836127325E+17</c:v>
                </c:pt>
                <c:pt idx="41">
                  <c:v>1.979812004065416E+17</c:v>
                </c:pt>
                <c:pt idx="42">
                  <c:v>1.9715884858761517E+17</c:v>
                </c:pt>
                <c:pt idx="43">
                  <c:v>1.9695326063288355E+17</c:v>
                </c:pt>
                <c:pt idx="44">
                  <c:v>1.9674767267815197E+17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9-45BA-A3E9-7DC35A264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716495"/>
        <c:axId val="975719855"/>
      </c:scatterChart>
      <c:valAx>
        <c:axId val="9757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19855"/>
        <c:crosses val="autoZero"/>
        <c:crossBetween val="midCat"/>
      </c:valAx>
      <c:valAx>
        <c:axId val="97571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1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</a:t>
            </a:r>
            <a:r>
              <a:rPr lang="en-US" baseline="0"/>
              <a:t> mTorr 21 ML 7/29/25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11854768153981E-2"/>
                  <c:y val="-0.47044983960338294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Sheet1!$BI$4:$BI$33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6.5</c:v>
                </c:pt>
                <c:pt idx="3">
                  <c:v>8.5</c:v>
                </c:pt>
                <c:pt idx="4">
                  <c:v>10.5</c:v>
                </c:pt>
                <c:pt idx="5">
                  <c:v>12.5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22.5</c:v>
                </c:pt>
                <c:pt idx="11">
                  <c:v>24.5</c:v>
                </c:pt>
                <c:pt idx="12">
                  <c:v>26.5</c:v>
                </c:pt>
                <c:pt idx="13">
                  <c:v>28.5</c:v>
                </c:pt>
                <c:pt idx="14">
                  <c:v>30.5</c:v>
                </c:pt>
                <c:pt idx="15">
                  <c:v>33</c:v>
                </c:pt>
                <c:pt idx="16">
                  <c:v>34.5</c:v>
                </c:pt>
                <c:pt idx="17">
                  <c:v>36.5</c:v>
                </c:pt>
                <c:pt idx="18">
                  <c:v>38.5</c:v>
                </c:pt>
                <c:pt idx="19">
                  <c:v>40.5</c:v>
                </c:pt>
                <c:pt idx="20">
                  <c:v>42.5</c:v>
                </c:pt>
                <c:pt idx="21">
                  <c:v>44.5</c:v>
                </c:pt>
                <c:pt idx="22">
                  <c:v>46.5</c:v>
                </c:pt>
                <c:pt idx="23">
                  <c:v>48.5</c:v>
                </c:pt>
                <c:pt idx="24">
                  <c:v>50.5</c:v>
                </c:pt>
                <c:pt idx="25">
                  <c:v>52.5</c:v>
                </c:pt>
                <c:pt idx="26">
                  <c:v>54.5</c:v>
                </c:pt>
                <c:pt idx="27">
                  <c:v>56.5</c:v>
                </c:pt>
                <c:pt idx="28">
                  <c:v>58.5</c:v>
                </c:pt>
                <c:pt idx="29">
                  <c:v>60.5</c:v>
                </c:pt>
              </c:numCache>
            </c:numRef>
          </c:xVal>
          <c:yVal>
            <c:numRef>
              <c:f>Sheet1!$BK$4:$BK$33</c:f>
              <c:numCache>
                <c:formatCode>0.00E+00</c:formatCode>
                <c:ptCount val="30"/>
                <c:pt idx="0">
                  <c:v>2.0805501018839056E+16</c:v>
                </c:pt>
                <c:pt idx="1">
                  <c:v>2.086717740525854E+16</c:v>
                </c:pt>
                <c:pt idx="2">
                  <c:v>1.9551414494976228E+16</c:v>
                </c:pt>
                <c:pt idx="3">
                  <c:v>1.9140238585513008E+16</c:v>
                </c:pt>
                <c:pt idx="4">
                  <c:v>1.8790739062469264E+16</c:v>
                </c:pt>
                <c:pt idx="5">
                  <c:v>1.7125476629143216E+16</c:v>
                </c:pt>
                <c:pt idx="6">
                  <c:v>1.6940447469884766E+16</c:v>
                </c:pt>
                <c:pt idx="8">
                  <c:v>1.6364801196636256E+16</c:v>
                </c:pt>
                <c:pt idx="9">
                  <c:v>1.502847949088078E+16</c:v>
                </c:pt>
                <c:pt idx="10">
                  <c:v>1.4905126718041814E+16</c:v>
                </c:pt>
                <c:pt idx="11">
                  <c:v>1.4000539717222724E+16</c:v>
                </c:pt>
                <c:pt idx="12">
                  <c:v>1.4370598035739624E+16</c:v>
                </c:pt>
                <c:pt idx="13">
                  <c:v>1.3239864284715764E+16</c:v>
                </c:pt>
                <c:pt idx="14">
                  <c:v>1.32193054892426E+16</c:v>
                </c:pt>
                <c:pt idx="15">
                  <c:v>1.2499747647681964E+16</c:v>
                </c:pt>
                <c:pt idx="16">
                  <c:v>1.2170806920111386E+16</c:v>
                </c:pt>
                <c:pt idx="17">
                  <c:v>1.1924101374433452E+16</c:v>
                </c:pt>
                <c:pt idx="18">
                  <c:v>1.0731691236990108E+16</c:v>
                </c:pt>
                <c:pt idx="19">
                  <c:v>1.0464426895839012E+16</c:v>
                </c:pt>
                <c:pt idx="20">
                  <c:v>1.060833846415114E+16</c:v>
                </c:pt>
                <c:pt idx="21">
                  <c:v>9744869054278372</c:v>
                </c:pt>
                <c:pt idx="22">
                  <c:v>9642075076912566</c:v>
                </c:pt>
                <c:pt idx="23">
                  <c:v>9148663985556700</c:v>
                </c:pt>
                <c:pt idx="24">
                  <c:v>8346870962103415</c:v>
                </c:pt>
                <c:pt idx="25">
                  <c:v>8367429757576577</c:v>
                </c:pt>
                <c:pt idx="26">
                  <c:v>8470223734942383</c:v>
                </c:pt>
                <c:pt idx="27">
                  <c:v>7976812643586516</c:v>
                </c:pt>
                <c:pt idx="28">
                  <c:v>7401166370338004</c:v>
                </c:pt>
                <c:pt idx="29">
                  <c:v>7524519143176971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D-45A7-BA51-3169D8F6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259439"/>
        <c:axId val="519256559"/>
      </c:scatterChart>
      <c:valAx>
        <c:axId val="51925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56559"/>
        <c:crosses val="autoZero"/>
        <c:crossBetween val="midCat"/>
      </c:valAx>
      <c:valAx>
        <c:axId val="5192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5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 mTorr 27</a:t>
            </a:r>
            <a:r>
              <a:rPr lang="en-US" baseline="0"/>
              <a:t> ML 7/30/25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Sheet1!$BV$2</c:f>
              <c:strCache>
                <c:ptCount val="1"/>
                <c:pt idx="0">
                  <c:v>CO 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2707130358705166E-2"/>
                  <c:y val="-0.45066163604549431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Sheet1!$BT$4:$BT$18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</c:numCache>
            </c:numRef>
          </c:xVal>
          <c:yVal>
            <c:numRef>
              <c:f>Sheet1!$BV$4:$BV$18</c:f>
              <c:numCache>
                <c:formatCode>0.00E+00</c:formatCode>
                <c:ptCount val="15"/>
                <c:pt idx="0">
                  <c:v>2.7014257251733716E+16</c:v>
                </c:pt>
                <c:pt idx="1">
                  <c:v>2.4711672158739672E+16</c:v>
                </c:pt>
                <c:pt idx="2">
                  <c:v>2.2758586588789364E+16</c:v>
                </c:pt>
                <c:pt idx="3">
                  <c:v>1.9674767267815192E+16</c:v>
                </c:pt>
                <c:pt idx="4">
                  <c:v>1.75572113340796E+16</c:v>
                </c:pt>
                <c:pt idx="5">
                  <c:v>1.5295743832031874E+16</c:v>
                </c:pt>
                <c:pt idx="6">
                  <c:v>1.2767011988833058E+16</c:v>
                </c:pt>
                <c:pt idx="7">
                  <c:v>1.1040073169087522E+16</c:v>
                </c:pt>
                <c:pt idx="8">
                  <c:v>8614135303254510</c:v>
                </c:pt>
                <c:pt idx="9">
                  <c:v>7791783484328067</c:v>
                </c:pt>
                <c:pt idx="10">
                  <c:v>5962050687216726</c:v>
                </c:pt>
                <c:pt idx="11">
                  <c:v>4625728981461252</c:v>
                </c:pt>
                <c:pt idx="12">
                  <c:v>4214553071998030.5</c:v>
                </c:pt>
                <c:pt idx="13">
                  <c:v>3001584139081524.5</c:v>
                </c:pt>
                <c:pt idx="14">
                  <c:v>2775437388876751.5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D-4D7F-84CF-284EB354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918607"/>
        <c:axId val="2084923887"/>
      </c:scatterChart>
      <c:valAx>
        <c:axId val="208491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923887"/>
        <c:crosses val="autoZero"/>
        <c:crossBetween val="midCat"/>
      </c:valAx>
      <c:valAx>
        <c:axId val="208492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9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 mTorr 145 ML 8/5/25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Sheet1!$CG$2</c:f>
              <c:strCache>
                <c:ptCount val="1"/>
                <c:pt idx="0">
                  <c:v>CO 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618153299352346"/>
                  <c:y val="-0.50477847180841262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Sheet1!$CE$3:$CE$33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Sheet1!$CG$3:$CG$33</c:f>
              <c:numCache>
                <c:formatCode>0.00E+00</c:formatCode>
                <c:ptCount val="31"/>
                <c:pt idx="0">
                  <c:v>1.4493950808578592E+17</c:v>
                </c:pt>
                <c:pt idx="1">
                  <c:v>1.4391156831212784E+17</c:v>
                </c:pt>
                <c:pt idx="2">
                  <c:v>1.4267804058373818E+17</c:v>
                </c:pt>
                <c:pt idx="3">
                  <c:v>1.4288362853846979E+17</c:v>
                </c:pt>
                <c:pt idx="4">
                  <c:v>1.4144451285534851E+17</c:v>
                </c:pt>
                <c:pt idx="5">
                  <c:v>1.4144451285534851E+17</c:v>
                </c:pt>
                <c:pt idx="6">
                  <c:v>1.4123892490061691E+17</c:v>
                </c:pt>
                <c:pt idx="7">
                  <c:v>1.4103333694588533E+17</c:v>
                </c:pt>
                <c:pt idx="8">
                  <c:v>1.4123892490061691E+17</c:v>
                </c:pt>
                <c:pt idx="9">
                  <c:v>1.406221610364221E+17</c:v>
                </c:pt>
                <c:pt idx="10">
                  <c:v>1.3959422126276405E+17</c:v>
                </c:pt>
                <c:pt idx="11">
                  <c:v>1.3815510557964277E+17</c:v>
                </c:pt>
                <c:pt idx="12">
                  <c:v>1.3774392967017954E+17</c:v>
                </c:pt>
                <c:pt idx="13">
                  <c:v>1.373327537607163E+17</c:v>
                </c:pt>
                <c:pt idx="14">
                  <c:v>1.373327537607163E+17</c:v>
                </c:pt>
                <c:pt idx="15">
                  <c:v>1.3630481398705826E+17</c:v>
                </c:pt>
                <c:pt idx="16">
                  <c:v>1.3568805012286341E+17</c:v>
                </c:pt>
                <c:pt idx="17">
                  <c:v>1.3548246216813182E+17</c:v>
                </c:pt>
                <c:pt idx="18">
                  <c:v>1.3589363807759502E+17</c:v>
                </c:pt>
                <c:pt idx="19">
                  <c:v>1.3527687421340021E+17</c:v>
                </c:pt>
                <c:pt idx="20">
                  <c:v>1.3548246216813182E+17</c:v>
                </c:pt>
                <c:pt idx="21">
                  <c:v>1.3486569830393698E+17</c:v>
                </c:pt>
                <c:pt idx="22">
                  <c:v>1.3404334648501054E+17</c:v>
                </c:pt>
                <c:pt idx="23">
                  <c:v>1.3280981875662085E+17</c:v>
                </c:pt>
                <c:pt idx="24">
                  <c:v>1.317818789829628E+17</c:v>
                </c:pt>
                <c:pt idx="25">
                  <c:v>1.3198746693769442E+17</c:v>
                </c:pt>
                <c:pt idx="26">
                  <c:v>1.3137070307349957E+17</c:v>
                </c:pt>
                <c:pt idx="27">
                  <c:v>1.3095952716403637E+17</c:v>
                </c:pt>
                <c:pt idx="28">
                  <c:v>1.301371753451099E+17</c:v>
                </c:pt>
                <c:pt idx="29">
                  <c:v>1.2993158739037829E+17</c:v>
                </c:pt>
                <c:pt idx="30">
                  <c:v>1.297259994356467E+17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7-45E9-BEE9-EE5F49B0D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63040"/>
        <c:axId val="694864000"/>
      </c:scatterChart>
      <c:valAx>
        <c:axId val="69486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64000"/>
        <c:crosses val="autoZero"/>
        <c:crossBetween val="midCat"/>
      </c:valAx>
      <c:valAx>
        <c:axId val="6948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6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 mTorr 152</a:t>
            </a:r>
            <a:r>
              <a:rPr lang="en-US" baseline="0"/>
              <a:t> ML 8/6/25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Sheet1!$CQ$2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875984251968505E-2"/>
                  <c:y val="-0.54183544765237679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Sheet1!$CO$3:$CO$35</c:f>
              <c:numCache>
                <c:formatCode>General</c:formatCode>
                <c:ptCount val="3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</c:numCache>
            </c:numRef>
          </c:xVal>
          <c:yVal>
            <c:numRef>
              <c:f>Sheet1!$CQ$3:$CQ$35</c:f>
              <c:numCache>
                <c:formatCode>0.00E+00</c:formatCode>
                <c:ptCount val="33"/>
                <c:pt idx="0">
                  <c:v>1.5049038286353942E+17</c:v>
                </c:pt>
                <c:pt idx="1">
                  <c:v>1.5049038286353942E+17</c:v>
                </c:pt>
                <c:pt idx="2">
                  <c:v>1.5028479490880781E+17</c:v>
                </c:pt>
                <c:pt idx="3">
                  <c:v>1.4946244308988134E+17</c:v>
                </c:pt>
                <c:pt idx="4">
                  <c:v>1.4946244308988134E+17</c:v>
                </c:pt>
                <c:pt idx="5">
                  <c:v>1.4864009127095491E+17</c:v>
                </c:pt>
                <c:pt idx="6">
                  <c:v>1.4905126718041814E+17</c:v>
                </c:pt>
                <c:pt idx="7">
                  <c:v>1.4761215149729686E+17</c:v>
                </c:pt>
                <c:pt idx="8">
                  <c:v>1.4699538763310202E+17</c:v>
                </c:pt>
                <c:pt idx="9">
                  <c:v>1.4761215149729686E+17</c:v>
                </c:pt>
                <c:pt idx="10">
                  <c:v>1.4761215149729686E+17</c:v>
                </c:pt>
                <c:pt idx="11">
                  <c:v>1.4781773945202848E+17</c:v>
                </c:pt>
                <c:pt idx="12">
                  <c:v>1.4720097558783363E+17</c:v>
                </c:pt>
                <c:pt idx="13">
                  <c:v>1.4720097558783363E+17</c:v>
                </c:pt>
                <c:pt idx="14">
                  <c:v>1.4596744785944397E+17</c:v>
                </c:pt>
                <c:pt idx="15">
                  <c:v>1.4493950808578592E+17</c:v>
                </c:pt>
                <c:pt idx="16">
                  <c:v>1.4432274422159107E+17</c:v>
                </c:pt>
                <c:pt idx="17">
                  <c:v>1.4452833217632269E+17</c:v>
                </c:pt>
                <c:pt idx="18">
                  <c:v>1.4308921649320141E+17</c:v>
                </c:pt>
                <c:pt idx="19">
                  <c:v>1.4226686467427498E+17</c:v>
                </c:pt>
                <c:pt idx="20">
                  <c:v>1.406221610364221E+17</c:v>
                </c:pt>
                <c:pt idx="21">
                  <c:v>1.406221610364221E+17</c:v>
                </c:pt>
                <c:pt idx="22">
                  <c:v>1.3979980921749563E+17</c:v>
                </c:pt>
                <c:pt idx="23">
                  <c:v>1.3938863330803243E+17</c:v>
                </c:pt>
                <c:pt idx="24">
                  <c:v>1.3877186944383758E+17</c:v>
                </c:pt>
                <c:pt idx="25">
                  <c:v>1.389774573985692E+17</c:v>
                </c:pt>
                <c:pt idx="26">
                  <c:v>1.389774573985692E+17</c:v>
                </c:pt>
                <c:pt idx="27">
                  <c:v>1.3815510557964277E+17</c:v>
                </c:pt>
                <c:pt idx="28">
                  <c:v>1.3836069353437435E+17</c:v>
                </c:pt>
                <c:pt idx="29">
                  <c:v>1.3692157785125307E+17</c:v>
                </c:pt>
                <c:pt idx="30">
                  <c:v>1.373327537607163E+17</c:v>
                </c:pt>
                <c:pt idx="31">
                  <c:v>1.3568805012286341E+17</c:v>
                </c:pt>
                <c:pt idx="32">
                  <c:v>1.3568805012286341E+17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1-41ED-A4FF-F19835A5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291584"/>
        <c:axId val="816288224"/>
      </c:scatterChart>
      <c:valAx>
        <c:axId val="8162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88224"/>
        <c:crosses val="autoZero"/>
        <c:crossBetween val="midCat"/>
      </c:valAx>
      <c:valAx>
        <c:axId val="8162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 mTorr 155 ML 8/7/25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Sheet1!$DB$2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52537182852145"/>
                  <c:y val="-0.57748468941382325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Sheet1!$CZ$4:$CZ$33</c:f>
              <c:numCache>
                <c:formatCode>General</c:formatCode>
                <c:ptCount val="3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</c:numCache>
            </c:numRef>
          </c:xVal>
          <c:yVal>
            <c:numRef>
              <c:f>Sheet1!$DB$4:$DB$33</c:f>
              <c:numCache>
                <c:formatCode>0.00E+00</c:formatCode>
                <c:ptCount val="30"/>
                <c:pt idx="0">
                  <c:v>1.5069597081827101E+17</c:v>
                </c:pt>
                <c:pt idx="1">
                  <c:v>1.5069597081827101E+17</c:v>
                </c:pt>
                <c:pt idx="2">
                  <c:v>1.5049038286353942E+17</c:v>
                </c:pt>
                <c:pt idx="3">
                  <c:v>1.4966803104461296E+17</c:v>
                </c:pt>
                <c:pt idx="4">
                  <c:v>1.4905126718041814E+17</c:v>
                </c:pt>
                <c:pt idx="5">
                  <c:v>1.4822891536149168E+17</c:v>
                </c:pt>
                <c:pt idx="6">
                  <c:v>1.484345033162233E+17</c:v>
                </c:pt>
                <c:pt idx="7">
                  <c:v>1.4740656354256525E+17</c:v>
                </c:pt>
                <c:pt idx="8">
                  <c:v>1.4699538763310202E+17</c:v>
                </c:pt>
                <c:pt idx="9">
                  <c:v>1.4740656354256525E+17</c:v>
                </c:pt>
                <c:pt idx="10">
                  <c:v>1.4761215149729686E+17</c:v>
                </c:pt>
                <c:pt idx="11">
                  <c:v>1.4699538763310202E+17</c:v>
                </c:pt>
                <c:pt idx="12">
                  <c:v>1.463786237689072E+17</c:v>
                </c:pt>
                <c:pt idx="13">
                  <c:v>1.4493950808578592E+17</c:v>
                </c:pt>
                <c:pt idx="14">
                  <c:v>1.447339201310543E+17</c:v>
                </c:pt>
                <c:pt idx="15">
                  <c:v>1.4555627194998074E+17</c:v>
                </c:pt>
                <c:pt idx="16">
                  <c:v>1.447339201310543E+17</c:v>
                </c:pt>
                <c:pt idx="17">
                  <c:v>1.4493950808578592E+17</c:v>
                </c:pt>
                <c:pt idx="18">
                  <c:v>1.4452833217632269E+17</c:v>
                </c:pt>
                <c:pt idx="19">
                  <c:v>1.4370598035739624E+17</c:v>
                </c:pt>
                <c:pt idx="20">
                  <c:v>1.4370598035739624E+17</c:v>
                </c:pt>
                <c:pt idx="21">
                  <c:v>1.4288362853846979E+17</c:v>
                </c:pt>
                <c:pt idx="22">
                  <c:v>1.4308921649320141E+17</c:v>
                </c:pt>
                <c:pt idx="23">
                  <c:v>1.4288362853846979E+17</c:v>
                </c:pt>
                <c:pt idx="24">
                  <c:v>1.4226686467427498E+17</c:v>
                </c:pt>
                <c:pt idx="25">
                  <c:v>1.4185568876481174E+17</c:v>
                </c:pt>
                <c:pt idx="26">
                  <c:v>1.4144451285534851E+17</c:v>
                </c:pt>
                <c:pt idx="27">
                  <c:v>1.4165010081008013E+17</c:v>
                </c:pt>
                <c:pt idx="28">
                  <c:v>1.4144451285534851E+17</c:v>
                </c:pt>
                <c:pt idx="29">
                  <c:v>1.4123892490061691E+17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9-41FB-A529-1947CC2A0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302607"/>
        <c:axId val="1870310287"/>
      </c:scatterChart>
      <c:valAx>
        <c:axId val="18703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10287"/>
        <c:crosses val="autoZero"/>
        <c:crossBetween val="midCat"/>
      </c:valAx>
      <c:valAx>
        <c:axId val="187031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0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100W 150 mTorr 138 ML 8/10/25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Sheet1!$DM$2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55971128608923"/>
                  <c:y val="-0.47622594050743655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Sheet1!$DK$3:$DK$33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Sheet1!$DM$3:$DM$33</c:f>
              <c:numCache>
                <c:formatCode>0.00E+00</c:formatCode>
                <c:ptCount val="31"/>
                <c:pt idx="0">
                  <c:v>1.3774392967017954E+17</c:v>
                </c:pt>
                <c:pt idx="1">
                  <c:v>1.373327537607163E+17</c:v>
                </c:pt>
                <c:pt idx="2">
                  <c:v>1.3692157785125307E+17</c:v>
                </c:pt>
                <c:pt idx="3">
                  <c:v>1.3630481398705826E+17</c:v>
                </c:pt>
                <c:pt idx="4">
                  <c:v>1.3609922603232664E+17</c:v>
                </c:pt>
                <c:pt idx="5">
                  <c:v>1.3527687421340021E+17</c:v>
                </c:pt>
                <c:pt idx="6">
                  <c:v>1.3507128625866859E+17</c:v>
                </c:pt>
                <c:pt idx="7">
                  <c:v>1.3548246216813182E+17</c:v>
                </c:pt>
                <c:pt idx="8">
                  <c:v>1.3507128625866859E+17</c:v>
                </c:pt>
                <c:pt idx="9">
                  <c:v>1.3507128625866859E+17</c:v>
                </c:pt>
                <c:pt idx="10">
                  <c:v>1.3301540671135246E+17</c:v>
                </c:pt>
                <c:pt idx="11">
                  <c:v>1.3363217057554731E+17</c:v>
                </c:pt>
                <c:pt idx="12">
                  <c:v>1.3322099466608408E+17</c:v>
                </c:pt>
                <c:pt idx="13">
                  <c:v>1.3260423080188926E+17</c:v>
                </c:pt>
                <c:pt idx="14">
                  <c:v>1.317818789829628E+17</c:v>
                </c:pt>
                <c:pt idx="15">
                  <c:v>1.3137070307349957E+17</c:v>
                </c:pt>
                <c:pt idx="16">
                  <c:v>1.3116511511876798E+17</c:v>
                </c:pt>
                <c:pt idx="17">
                  <c:v>1.3075393920930475E+17</c:v>
                </c:pt>
                <c:pt idx="18">
                  <c:v>1.3034276329984152E+17</c:v>
                </c:pt>
                <c:pt idx="19">
                  <c:v>1.2952041148091509E+17</c:v>
                </c:pt>
                <c:pt idx="20">
                  <c:v>1.297259994356467E+17</c:v>
                </c:pt>
                <c:pt idx="21">
                  <c:v>1.297259994356467E+17</c:v>
                </c:pt>
                <c:pt idx="22">
                  <c:v>1.2931482352618347E+17</c:v>
                </c:pt>
                <c:pt idx="23">
                  <c:v>1.2910923557145186E+17</c:v>
                </c:pt>
                <c:pt idx="24">
                  <c:v>1.2910923557145186E+17</c:v>
                </c:pt>
                <c:pt idx="25">
                  <c:v>1.2849247170725702E+17</c:v>
                </c:pt>
                <c:pt idx="26">
                  <c:v>1.2890364761672024E+17</c:v>
                </c:pt>
                <c:pt idx="27">
                  <c:v>1.2787570784306219E+17</c:v>
                </c:pt>
                <c:pt idx="28">
                  <c:v>1.2767011988833058E+17</c:v>
                </c:pt>
                <c:pt idx="29">
                  <c:v>1.2746453193359896E+17</c:v>
                </c:pt>
                <c:pt idx="30">
                  <c:v>1.2746453193359896E+17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F-460C-B5B5-E590B4A2A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885471"/>
        <c:axId val="1585901311"/>
      </c:scatterChart>
      <c:valAx>
        <c:axId val="158588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901311"/>
        <c:crosses val="autoZero"/>
        <c:crossBetween val="midCat"/>
      </c:valAx>
      <c:valAx>
        <c:axId val="15859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88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 112 ML 8/11/25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Sheet1!$DX$2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74868766404199"/>
                  <c:y val="-0.55606080489938758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Sheet1!$DV$3:$DV$33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Sheet1!$DX$3:$DX$33</c:f>
              <c:numCache>
                <c:formatCode>0.00E+00</c:formatCode>
                <c:ptCount val="31"/>
                <c:pt idx="0">
                  <c:v>1.1183984737399653E+17</c:v>
                </c:pt>
                <c:pt idx="1">
                  <c:v>1.1163425941926491E+17</c:v>
                </c:pt>
                <c:pt idx="2">
                  <c:v>1.1060631964560685E+17</c:v>
                </c:pt>
                <c:pt idx="3">
                  <c:v>1.1081190760033845E+17</c:v>
                </c:pt>
                <c:pt idx="4">
                  <c:v>1.097839678266804E+17</c:v>
                </c:pt>
                <c:pt idx="5">
                  <c:v>1.0957837987194878E+17</c:v>
                </c:pt>
                <c:pt idx="6">
                  <c:v>1.0896161600775397E+17</c:v>
                </c:pt>
                <c:pt idx="7">
                  <c:v>1.0875602805302235E+17</c:v>
                </c:pt>
                <c:pt idx="8">
                  <c:v>1.0855044009829074E+17</c:v>
                </c:pt>
                <c:pt idx="9">
                  <c:v>1.0834485214355912E+17</c:v>
                </c:pt>
                <c:pt idx="10">
                  <c:v>1.081392641888275E+17</c:v>
                </c:pt>
                <c:pt idx="11">
                  <c:v>1.0711132441516946E+17</c:v>
                </c:pt>
                <c:pt idx="12">
                  <c:v>1.0711132441516946E+17</c:v>
                </c:pt>
                <c:pt idx="13">
                  <c:v>1.0711132441516946E+17</c:v>
                </c:pt>
                <c:pt idx="14">
                  <c:v>1.0628897259624302E+17</c:v>
                </c:pt>
                <c:pt idx="15">
                  <c:v>1.0608338464151141E+17</c:v>
                </c:pt>
                <c:pt idx="16">
                  <c:v>1.0608338464151141E+17</c:v>
                </c:pt>
                <c:pt idx="17">
                  <c:v>1.0484985691312174E+17</c:v>
                </c:pt>
                <c:pt idx="18">
                  <c:v>1.042330930489269E+17</c:v>
                </c:pt>
                <c:pt idx="19">
                  <c:v>1.0464426895839013E+17</c:v>
                </c:pt>
                <c:pt idx="20">
                  <c:v>1.0382191713946366E+17</c:v>
                </c:pt>
                <c:pt idx="21">
                  <c:v>1.0361632918473205E+17</c:v>
                </c:pt>
                <c:pt idx="22">
                  <c:v>1.0299956532053723E+17</c:v>
                </c:pt>
                <c:pt idx="23">
                  <c:v>1.02588389411074E+17</c:v>
                </c:pt>
                <c:pt idx="24">
                  <c:v>1.0197162554687918E+17</c:v>
                </c:pt>
                <c:pt idx="25">
                  <c:v>1.0197162554687918E+17</c:v>
                </c:pt>
                <c:pt idx="26">
                  <c:v>1.009436857732211E+17</c:v>
                </c:pt>
                <c:pt idx="27">
                  <c:v>1.0073809781848949E+17</c:v>
                </c:pt>
                <c:pt idx="28">
                  <c:v>9.9504570090099824E+16</c:v>
                </c:pt>
                <c:pt idx="29">
                  <c:v>9.8887806225905008E+16</c:v>
                </c:pt>
                <c:pt idx="30">
                  <c:v>9.9298982135368208E+16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D-4537-BABF-9A208877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653904"/>
        <c:axId val="1715643344"/>
      </c:scatterChart>
      <c:valAx>
        <c:axId val="171565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43344"/>
        <c:crosses val="autoZero"/>
        <c:crossBetween val="midCat"/>
      </c:valAx>
      <c:valAx>
        <c:axId val="17156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5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</a:t>
            </a:r>
            <a:r>
              <a:rPr lang="en-US" baseline="0"/>
              <a:t> mTorr 103 ML 8/12/25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Sheet1!$EI$2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50524934383203"/>
                  <c:y val="-0.53918525809273843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Sheet1!$EG$3:$EG$33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Sheet1!$EI$3:$EI$33</c:f>
              <c:numCache>
                <c:formatCode>0.00E+00</c:formatCode>
                <c:ptCount val="31"/>
                <c:pt idx="0">
                  <c:v>1.0443868100365851E+17</c:v>
                </c:pt>
                <c:pt idx="1">
                  <c:v>1.0402750509419528E+17</c:v>
                </c:pt>
                <c:pt idx="2">
                  <c:v>1.0402750509419528E+17</c:v>
                </c:pt>
                <c:pt idx="3">
                  <c:v>1.0279397736580562E+17</c:v>
                </c:pt>
                <c:pt idx="4">
                  <c:v>1.0320515327526885E+17</c:v>
                </c:pt>
                <c:pt idx="5">
                  <c:v>1.0156044963741595E+17</c:v>
                </c:pt>
                <c:pt idx="6">
                  <c:v>1.0156044963741595E+17</c:v>
                </c:pt>
                <c:pt idx="7">
                  <c:v>1.0156044963741595E+17</c:v>
                </c:pt>
                <c:pt idx="8">
                  <c:v>1.0114927372795272E+17</c:v>
                </c:pt>
                <c:pt idx="9">
                  <c:v>1.0032692190902629E+17</c:v>
                </c:pt>
                <c:pt idx="10">
                  <c:v>1.005325098637579E+17</c:v>
                </c:pt>
                <c:pt idx="11">
                  <c:v>1.005325098637579E+17</c:v>
                </c:pt>
                <c:pt idx="12">
                  <c:v>1.0032692190902629E+17</c:v>
                </c:pt>
                <c:pt idx="13">
                  <c:v>9.9504570090099824E+16</c:v>
                </c:pt>
                <c:pt idx="14">
                  <c:v>9.9504570090099824E+16</c:v>
                </c:pt>
                <c:pt idx="15">
                  <c:v>9.8887806225905008E+16</c:v>
                </c:pt>
                <c:pt idx="16">
                  <c:v>9.8682218271173392E+16</c:v>
                </c:pt>
                <c:pt idx="17">
                  <c:v>9.8476630316441776E+16</c:v>
                </c:pt>
                <c:pt idx="18">
                  <c:v>9.8476630316441776E+16</c:v>
                </c:pt>
                <c:pt idx="19">
                  <c:v>9.7243102588052112E+16</c:v>
                </c:pt>
                <c:pt idx="20">
                  <c:v>9.683192667858888E+16</c:v>
                </c:pt>
                <c:pt idx="21">
                  <c:v>9.7243102588052112E+16</c:v>
                </c:pt>
                <c:pt idx="22">
                  <c:v>9.6420750769125664E+16</c:v>
                </c:pt>
                <c:pt idx="23">
                  <c:v>9.6009574859662448E+16</c:v>
                </c:pt>
                <c:pt idx="24">
                  <c:v>9.6420750769125664E+16</c:v>
                </c:pt>
                <c:pt idx="25">
                  <c:v>9.5392810995467616E+16</c:v>
                </c:pt>
                <c:pt idx="26">
                  <c:v>9.6009574859662448E+16</c:v>
                </c:pt>
                <c:pt idx="27">
                  <c:v>9.4981635086004384E+16</c:v>
                </c:pt>
                <c:pt idx="28">
                  <c:v>9.3953695312346336E+16</c:v>
                </c:pt>
                <c:pt idx="29">
                  <c:v>9.3131343493419888E+16</c:v>
                </c:pt>
                <c:pt idx="30">
                  <c:v>9.3131343493419888E+16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B-4D5C-BE8E-87A8BAE7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63344"/>
        <c:axId val="1130473904"/>
      </c:scatterChart>
      <c:valAx>
        <c:axId val="11304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73904"/>
        <c:crosses val="autoZero"/>
        <c:crossBetween val="midCat"/>
      </c:valAx>
      <c:valAx>
        <c:axId val="11304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 105 ML 8/13/25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Sheet1!$ET$2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269987320948591E-2"/>
                  <c:y val="-0.5798138515024519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Sheet1!$ER$3:$ER$33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Sheet1!$ET$3:$ET$33</c:f>
              <c:numCache>
                <c:formatCode>0.00E+00</c:formatCode>
                <c:ptCount val="31"/>
                <c:pt idx="0">
                  <c:v>1.0484985691312174E+17</c:v>
                </c:pt>
                <c:pt idx="1">
                  <c:v>1.0402750509419528E+17</c:v>
                </c:pt>
                <c:pt idx="2">
                  <c:v>1.02588389411074E+17</c:v>
                </c:pt>
                <c:pt idx="3">
                  <c:v>1.02588389411074E+17</c:v>
                </c:pt>
                <c:pt idx="4">
                  <c:v>1.0217721350161077E+17</c:v>
                </c:pt>
                <c:pt idx="5">
                  <c:v>1.0156044963741595E+17</c:v>
                </c:pt>
                <c:pt idx="6">
                  <c:v>1.0135486168268434E+17</c:v>
                </c:pt>
                <c:pt idx="7">
                  <c:v>1.009436857732211E+17</c:v>
                </c:pt>
                <c:pt idx="8">
                  <c:v>1.005325098637579E+17</c:v>
                </c:pt>
                <c:pt idx="9">
                  <c:v>9.9504570090099824E+16</c:v>
                </c:pt>
                <c:pt idx="10">
                  <c:v>9.9504570090099824E+16</c:v>
                </c:pt>
                <c:pt idx="11">
                  <c:v>9.9093394180636624E+16</c:v>
                </c:pt>
                <c:pt idx="12">
                  <c:v>9.827104236171016E+16</c:v>
                </c:pt>
                <c:pt idx="13">
                  <c:v>9.7448690542783728E+16</c:v>
                </c:pt>
                <c:pt idx="14">
                  <c:v>9.7448690542783728E+16</c:v>
                </c:pt>
                <c:pt idx="15">
                  <c:v>9.6420750769125664E+16</c:v>
                </c:pt>
                <c:pt idx="16">
                  <c:v>9.6215162814394064E+16</c:v>
                </c:pt>
                <c:pt idx="17">
                  <c:v>9.5598398950199232E+16</c:v>
                </c:pt>
                <c:pt idx="18">
                  <c:v>9.6009574859662448E+16</c:v>
                </c:pt>
                <c:pt idx="19">
                  <c:v>9.5392810995467616E+16</c:v>
                </c:pt>
                <c:pt idx="20">
                  <c:v>9.374810735761472E+16</c:v>
                </c:pt>
                <c:pt idx="21">
                  <c:v>9.4364871221809568E+16</c:v>
                </c:pt>
                <c:pt idx="22">
                  <c:v>9.374810735761472E+16</c:v>
                </c:pt>
                <c:pt idx="23">
                  <c:v>9.3336931448151488E+16</c:v>
                </c:pt>
                <c:pt idx="24">
                  <c:v>9.1897815765030208E+16</c:v>
                </c:pt>
                <c:pt idx="25">
                  <c:v>9.2514579629225056E+16</c:v>
                </c:pt>
                <c:pt idx="26">
                  <c:v>9.1692227810298624E+16</c:v>
                </c:pt>
                <c:pt idx="27">
                  <c:v>9.1486639855567008E+16</c:v>
                </c:pt>
                <c:pt idx="28">
                  <c:v>9.1486639855567008E+16</c:v>
                </c:pt>
                <c:pt idx="29">
                  <c:v>9.086987599137216E+16</c:v>
                </c:pt>
                <c:pt idx="30">
                  <c:v>9.0253112127177344E+16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0-430D-97DB-E3960666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187007"/>
        <c:axId val="1911166367"/>
      </c:scatterChart>
      <c:valAx>
        <c:axId val="1911187007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66367"/>
        <c:crosses val="autoZero"/>
        <c:crossBetween val="midCat"/>
      </c:valAx>
      <c:valAx>
        <c:axId val="19111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8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</a:t>
            </a:r>
            <a:r>
              <a:rPr lang="en-US" baseline="0"/>
              <a:t> 83 ML 8/14/15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Sheet1!$FE$2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241557305336837"/>
                  <c:y val="4.9452464275298924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Sheet1!$FC$3:$FC$38</c:f>
              <c:numCache>
                <c:formatCode>General</c:formatCode>
                <c:ptCount val="3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70.5</c:v>
                </c:pt>
              </c:numCache>
            </c:numRef>
          </c:xVal>
          <c:yVal>
            <c:numRef>
              <c:f>Sheet1!$FE$3:$FE$38</c:f>
              <c:numCache>
                <c:formatCode>0.00E+00</c:formatCode>
                <c:ptCount val="36"/>
                <c:pt idx="0">
                  <c:v>8.33453568481952E+16</c:v>
                </c:pt>
                <c:pt idx="1">
                  <c:v>8.3160327688936752E+16</c:v>
                </c:pt>
                <c:pt idx="2">
                  <c:v>8.274915177947352E+16</c:v>
                </c:pt>
                <c:pt idx="3">
                  <c:v>8.2523005029268752E+16</c:v>
                </c:pt>
                <c:pt idx="4">
                  <c:v>8.2173505506225008E+16</c:v>
                </c:pt>
                <c:pt idx="5">
                  <c:v>8.042600789100632E+16</c:v>
                </c:pt>
                <c:pt idx="6">
                  <c:v>8.0837183800469536E+16</c:v>
                </c:pt>
                <c:pt idx="7">
                  <c:v>8.0076508367962576E+16</c:v>
                </c:pt>
                <c:pt idx="8">
                  <c:v>8.0158743549855216E+16</c:v>
                </c:pt>
                <c:pt idx="9">
                  <c:v>7.978868523133832E+16</c:v>
                </c:pt>
                <c:pt idx="10">
                  <c:v>7.9089686185250832E+16</c:v>
                </c:pt>
                <c:pt idx="11">
                  <c:v>7.8616833889368144E+16</c:v>
                </c:pt>
                <c:pt idx="12">
                  <c:v>7.8699069071260768E+16</c:v>
                </c:pt>
                <c:pt idx="13">
                  <c:v>7.7691688093075888E+16</c:v>
                </c:pt>
                <c:pt idx="14">
                  <c:v>7.7177718206246864E+16</c:v>
                </c:pt>
                <c:pt idx="15">
                  <c:v>7.6540395546578864E+16</c:v>
                </c:pt>
                <c:pt idx="16">
                  <c:v>7.6396483978266736E+16</c:v>
                </c:pt>
                <c:pt idx="17">
                  <c:v>7.5718043727652416E+16</c:v>
                </c:pt>
                <c:pt idx="18">
                  <c:v>7.5019044681564944E+16</c:v>
                </c:pt>
                <c:pt idx="19">
                  <c:v>7.5574132159340288E+16</c:v>
                </c:pt>
                <c:pt idx="20">
                  <c:v>7.4011663703380032E+16</c:v>
                </c:pt>
                <c:pt idx="21">
                  <c:v>7.4011663703380032E+16</c:v>
                </c:pt>
                <c:pt idx="22">
                  <c:v>7.3477135021077856E+16</c:v>
                </c:pt>
                <c:pt idx="23">
                  <c:v>7.3806075748648432E+16</c:v>
                </c:pt>
                <c:pt idx="24">
                  <c:v>7.3292105861819392E+16</c:v>
                </c:pt>
                <c:pt idx="25">
                  <c:v>7.3579928998443664E+16</c:v>
                </c:pt>
                <c:pt idx="26">
                  <c:v>7.3127635498034112E+16</c:v>
                </c:pt>
                <c:pt idx="27">
                  <c:v>7.2408077656473472E+16</c:v>
                </c:pt>
                <c:pt idx="28">
                  <c:v>7.1318461496395936E+16</c:v>
                </c:pt>
                <c:pt idx="29">
                  <c:v>7.1647402223966512E+16</c:v>
                </c:pt>
                <c:pt idx="30">
                  <c:v>7.0907285586932712E+16</c:v>
                </c:pt>
                <c:pt idx="31">
                  <c:v>6.9817669426855176E+16</c:v>
                </c:pt>
                <c:pt idx="32">
                  <c:v>7.0578344859362136E+16</c:v>
                </c:pt>
                <c:pt idx="33">
                  <c:v>6.9694316654016216E+16</c:v>
                </c:pt>
                <c:pt idx="34">
                  <c:v>6.9324258335499312E+16</c:v>
                </c:pt>
                <c:pt idx="35">
                  <c:v>6.8563582902992344E+16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E-4FA4-9088-0BB9EA303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991232"/>
        <c:axId val="1752017152"/>
      </c:scatterChart>
      <c:valAx>
        <c:axId val="1751991232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17152"/>
        <c:crosses val="autoZero"/>
        <c:crossBetween val="midCat"/>
      </c:valAx>
      <c:valAx>
        <c:axId val="1752017152"/>
        <c:scaling>
          <c:orientation val="minMax"/>
          <c:min val="6.5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9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 85 ML 8/15/25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Sheet1!$FP$2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99999999999999"/>
                  <c:y val="5.8409886264216886E-2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Sheet1!$FN$3:$FN$33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Sheet1!$FP$3:$FP$33</c:f>
              <c:numCache>
                <c:formatCode>0.00E+00</c:formatCode>
                <c:ptCount val="31"/>
                <c:pt idx="0">
                  <c:v>8.4702237349423824E+16</c:v>
                </c:pt>
                <c:pt idx="1">
                  <c:v>8.4085473485228992E+16</c:v>
                </c:pt>
                <c:pt idx="2">
                  <c:v>8.3057533711570944E+16</c:v>
                </c:pt>
                <c:pt idx="3">
                  <c:v>8.2646357802107712E+16</c:v>
                </c:pt>
                <c:pt idx="4">
                  <c:v>8.202959393791288E+16</c:v>
                </c:pt>
                <c:pt idx="5">
                  <c:v>8.1412830073718048E+16</c:v>
                </c:pt>
                <c:pt idx="6">
                  <c:v>8.1207242118986432E+16</c:v>
                </c:pt>
                <c:pt idx="7">
                  <c:v>8.0796066209523216E+16</c:v>
                </c:pt>
                <c:pt idx="8">
                  <c:v>8.1207242118986432E+16</c:v>
                </c:pt>
                <c:pt idx="9">
                  <c:v>8.0796066209523216E+16</c:v>
                </c:pt>
                <c:pt idx="10">
                  <c:v>8.0179302345328384E+16</c:v>
                </c:pt>
                <c:pt idx="11">
                  <c:v>7.915136257167032E+16</c:v>
                </c:pt>
                <c:pt idx="12">
                  <c:v>7.8534598707475488E+16</c:v>
                </c:pt>
                <c:pt idx="13">
                  <c:v>7.8740186662207104E+16</c:v>
                </c:pt>
                <c:pt idx="14">
                  <c:v>7.771224688854904E+16</c:v>
                </c:pt>
                <c:pt idx="15">
                  <c:v>7.7095483024354208E+16</c:v>
                </c:pt>
                <c:pt idx="16">
                  <c:v>7.6889895069622592E+16</c:v>
                </c:pt>
                <c:pt idx="17">
                  <c:v>7.7095483024354208E+16</c:v>
                </c:pt>
                <c:pt idx="18">
                  <c:v>7.6684307114890992E+16</c:v>
                </c:pt>
                <c:pt idx="19">
                  <c:v>7.5656367341232928E+16</c:v>
                </c:pt>
                <c:pt idx="20">
                  <c:v>7.5450779386501312E+16</c:v>
                </c:pt>
                <c:pt idx="21">
                  <c:v>7.5039603477038096E+16</c:v>
                </c:pt>
                <c:pt idx="22">
                  <c:v>7.462842756757488E+16</c:v>
                </c:pt>
                <c:pt idx="23">
                  <c:v>7.4422839612843264E+16</c:v>
                </c:pt>
                <c:pt idx="24">
                  <c:v>7.2778135974990368E+16</c:v>
                </c:pt>
                <c:pt idx="25">
                  <c:v>7.33948998391852E+16</c:v>
                </c:pt>
                <c:pt idx="26">
                  <c:v>7.2366960065527152E+16</c:v>
                </c:pt>
                <c:pt idx="27">
                  <c:v>7.1339020291869088E+16</c:v>
                </c:pt>
                <c:pt idx="28">
                  <c:v>7.0927844382405872E+16</c:v>
                </c:pt>
                <c:pt idx="29">
                  <c:v>7.1133432337137488E+16</c:v>
                </c:pt>
                <c:pt idx="30">
                  <c:v>7.0105492563479432E+16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8-4927-9EC1-F47A9F985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278175"/>
        <c:axId val="1489270975"/>
      </c:scatterChart>
      <c:valAx>
        <c:axId val="148927817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70975"/>
        <c:crosses val="autoZero"/>
        <c:crossBetween val="midCat"/>
      </c:valAx>
      <c:valAx>
        <c:axId val="1489270975"/>
        <c:scaling>
          <c:orientation val="minMax"/>
          <c:min val="6.7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7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 94 ML 8/17/25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Sheet1!$GA$2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99999999999999"/>
                  <c:y val="1.339676290463692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Sheet1!$FY$3:$FY$33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Sheet1!$GA$3:$GA$33</c:f>
              <c:numCache>
                <c:formatCode>0.00E+00</c:formatCode>
                <c:ptCount val="31"/>
                <c:pt idx="0">
                  <c:v>9.086987599137216E+16</c:v>
                </c:pt>
                <c:pt idx="1">
                  <c:v>9.0253112127177344E+16</c:v>
                </c:pt>
                <c:pt idx="2">
                  <c:v>9.0047524172445728E+16</c:v>
                </c:pt>
                <c:pt idx="3">
                  <c:v>8.9019584398787664E+16</c:v>
                </c:pt>
                <c:pt idx="4">
                  <c:v>8.8402820534592832E+16</c:v>
                </c:pt>
                <c:pt idx="5">
                  <c:v>8.8197232579861216E+16</c:v>
                </c:pt>
                <c:pt idx="6">
                  <c:v>8.7580468715666384E+16</c:v>
                </c:pt>
                <c:pt idx="7">
                  <c:v>8.655252894200832E+16</c:v>
                </c:pt>
                <c:pt idx="8">
                  <c:v>8.6141353032545104E+16</c:v>
                </c:pt>
                <c:pt idx="9">
                  <c:v>8.5730177123081888E+16</c:v>
                </c:pt>
                <c:pt idx="10">
                  <c:v>8.490782530415544E+16</c:v>
                </c:pt>
                <c:pt idx="11">
                  <c:v>8.4085473485228992E+16</c:v>
                </c:pt>
                <c:pt idx="12">
                  <c:v>8.346870962103416E+16</c:v>
                </c:pt>
                <c:pt idx="13">
                  <c:v>8.326312166630256E+16</c:v>
                </c:pt>
                <c:pt idx="14">
                  <c:v>8.2235181892644496E+16</c:v>
                </c:pt>
                <c:pt idx="15">
                  <c:v>8.1207242118986432E+16</c:v>
                </c:pt>
                <c:pt idx="16">
                  <c:v>8.1412830073718048E+16</c:v>
                </c:pt>
                <c:pt idx="17">
                  <c:v>8.05904782547916E+16</c:v>
                </c:pt>
                <c:pt idx="18">
                  <c:v>8.0384890300059984E+16</c:v>
                </c:pt>
                <c:pt idx="19">
                  <c:v>7.9562538481133552E+16</c:v>
                </c:pt>
                <c:pt idx="20">
                  <c:v>7.8945774616938704E+16</c:v>
                </c:pt>
                <c:pt idx="21">
                  <c:v>7.8534598707475488E+16</c:v>
                </c:pt>
                <c:pt idx="22">
                  <c:v>7.7917834843280656E+16</c:v>
                </c:pt>
                <c:pt idx="23">
                  <c:v>7.7301070979085824E+16</c:v>
                </c:pt>
                <c:pt idx="24">
                  <c:v>7.7301070979085824E+16</c:v>
                </c:pt>
                <c:pt idx="25">
                  <c:v>7.6684307114890992E+16</c:v>
                </c:pt>
                <c:pt idx="26">
                  <c:v>7.6067543250696144E+16</c:v>
                </c:pt>
                <c:pt idx="27">
                  <c:v>7.483401552230648E+16</c:v>
                </c:pt>
                <c:pt idx="28">
                  <c:v>7.462842756757488E+16</c:v>
                </c:pt>
                <c:pt idx="29">
                  <c:v>7.483401552230648E+16</c:v>
                </c:pt>
                <c:pt idx="30">
                  <c:v>7.3806075748648432E+16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7-4905-8582-45914ED3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512768"/>
        <c:axId val="1793514688"/>
      </c:scatterChart>
      <c:valAx>
        <c:axId val="179351276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14688"/>
        <c:crosses val="autoZero"/>
        <c:crossBetween val="midCat"/>
      </c:valAx>
      <c:valAx>
        <c:axId val="1793514688"/>
        <c:scaling>
          <c:orientation val="minMax"/>
          <c:min val="7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1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</a:t>
            </a:r>
            <a:r>
              <a:rPr lang="en-US" baseline="0"/>
              <a:t> mTorr 71 ML 8/25/25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Sheet1!$GL$2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20258092738408"/>
                  <c:y val="-2.2739501312335958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Sheet1!$GJ$3:$GJ$33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Sheet1!$GL$3:$GL$33</c:f>
              <c:numCache>
                <c:formatCode>0.00E+00</c:formatCode>
                <c:ptCount val="31"/>
                <c:pt idx="0">
                  <c:v>7.0701697632201096E+16</c:v>
                </c:pt>
                <c:pt idx="1">
                  <c:v>6.950928749475776E+16</c:v>
                </c:pt>
                <c:pt idx="2">
                  <c:v>6.893364122150924E+16</c:v>
                </c:pt>
                <c:pt idx="3">
                  <c:v>6.8440230130153368E+16</c:v>
                </c:pt>
                <c:pt idx="4">
                  <c:v>6.7761789879539064E+16</c:v>
                </c:pt>
                <c:pt idx="5">
                  <c:v>6.6939438060612616E+16</c:v>
                </c:pt>
                <c:pt idx="6">
                  <c:v>6.6836644083246808E+16</c:v>
                </c:pt>
                <c:pt idx="7">
                  <c:v>6.6569379742095712E+16</c:v>
                </c:pt>
                <c:pt idx="8">
                  <c:v>6.51508228544476E+16</c:v>
                </c:pt>
                <c:pt idx="9">
                  <c:v>6.5130264058974448E+16</c:v>
                </c:pt>
                <c:pt idx="10">
                  <c:v>6.531529321823288E+16</c:v>
                </c:pt>
                <c:pt idx="11">
                  <c:v>6.4554617785725928E+16</c:v>
                </c:pt>
                <c:pt idx="12">
                  <c:v>6.4246235853628512E+16</c:v>
                </c:pt>
                <c:pt idx="13">
                  <c:v>6.3567795603014192E+16</c:v>
                </c:pt>
                <c:pt idx="14">
                  <c:v>6.3485560421121552E+16</c:v>
                </c:pt>
                <c:pt idx="15">
                  <c:v>6.3279972466389944E+16</c:v>
                </c:pt>
                <c:pt idx="16">
                  <c:v>6.2786561375034064E+16</c:v>
                </c:pt>
                <c:pt idx="17">
                  <c:v>6.1758621601376016E+16</c:v>
                </c:pt>
                <c:pt idx="18">
                  <c:v>6.1368004487385952E+16</c:v>
                </c:pt>
                <c:pt idx="19">
                  <c:v>6.1059622555288536E+16</c:v>
                </c:pt>
                <c:pt idx="20">
                  <c:v>6.07101230322448E+16</c:v>
                </c:pt>
                <c:pt idx="21">
                  <c:v>6.0504535077513192E+16</c:v>
                </c:pt>
                <c:pt idx="22">
                  <c:v>5.9291566144596672E+16</c:v>
                </c:pt>
                <c:pt idx="23">
                  <c:v>5.9517712894801448E+16</c:v>
                </c:pt>
                <c:pt idx="24">
                  <c:v>5.8407537939250752E+16</c:v>
                </c:pt>
                <c:pt idx="25">
                  <c:v>5.8140273598099656E+16</c:v>
                </c:pt>
                <c:pt idx="26">
                  <c:v>5.7729097688636432E+16</c:v>
                </c:pt>
                <c:pt idx="27">
                  <c:v>5.7646862506743792E+16</c:v>
                </c:pt>
                <c:pt idx="28">
                  <c:v>5.7009539847075784E+16</c:v>
                </c:pt>
                <c:pt idx="29">
                  <c:v>5.6248864414568832E+16</c:v>
                </c:pt>
                <c:pt idx="30">
                  <c:v>5.569377693679348E+16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2-474F-BE2E-A6DF5E08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9904"/>
        <c:axId val="54851824"/>
      </c:scatterChart>
      <c:valAx>
        <c:axId val="5484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1824"/>
        <c:crosses val="autoZero"/>
        <c:crossBetween val="midCat"/>
      </c:valAx>
      <c:valAx>
        <c:axId val="54851824"/>
        <c:scaling>
          <c:orientation val="minMax"/>
          <c:min val="5.5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150 mTorr 73 ML 8/27/25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Sheet1!$GW$2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050153105861766"/>
                  <c:y val="-4.1753062117235264E-2"/>
                </c:manualLayout>
              </c:layout>
              <c:numFmt formatCode="0.000E+0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Sheet1!$GU$3:$GU$33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Sheet1!$GW$3:$GW$33</c:f>
              <c:numCache>
                <c:formatCode>0.00E+00</c:formatCode>
                <c:ptCount val="31"/>
                <c:pt idx="0">
                  <c:v>7.2634224406678256E+16</c:v>
                </c:pt>
                <c:pt idx="1">
                  <c:v>7.2223048497215024E+16</c:v>
                </c:pt>
                <c:pt idx="2">
                  <c:v>7.1195108723556968E+16</c:v>
                </c:pt>
                <c:pt idx="3">
                  <c:v>7.0660580041254784E+16</c:v>
                </c:pt>
                <c:pt idx="4">
                  <c:v>7.020828654084524E+16</c:v>
                </c:pt>
                <c:pt idx="5">
                  <c:v>6.9961580995167304E+16</c:v>
                </c:pt>
                <c:pt idx="6">
                  <c:v>6.9797110631382024E+16</c:v>
                </c:pt>
                <c:pt idx="7">
                  <c:v>6.9406493517391952E+16</c:v>
                </c:pt>
                <c:pt idx="8">
                  <c:v>6.8666376880358152E+16</c:v>
                </c:pt>
                <c:pt idx="9">
                  <c:v>6.823464217542176E+16</c:v>
                </c:pt>
                <c:pt idx="10">
                  <c:v>6.74739667429148E+16</c:v>
                </c:pt>
                <c:pt idx="11">
                  <c:v>6.739173156102216E+16</c:v>
                </c:pt>
                <c:pt idx="12">
                  <c:v>6.6959996856085776E+16</c:v>
                </c:pt>
                <c:pt idx="13">
                  <c:v>6.654882094662256E+16</c:v>
                </c:pt>
                <c:pt idx="15">
                  <c:v>6.6219880219051976E+16</c:v>
                </c:pt>
                <c:pt idx="16">
                  <c:v>6.5397528400125528E+16</c:v>
                </c:pt>
                <c:pt idx="17">
                  <c:v>6.4821882126877024E+16</c:v>
                </c:pt>
                <c:pt idx="18">
                  <c:v>6.4492941399306432E+16</c:v>
                </c:pt>
                <c:pt idx="19">
                  <c:v>6.4492941399306432E+16</c:v>
                </c:pt>
                <c:pt idx="20">
                  <c:v>6.3814501148692128E+16</c:v>
                </c:pt>
                <c:pt idx="21">
                  <c:v>6.3259413670916768E+16</c:v>
                </c:pt>
                <c:pt idx="22">
                  <c:v>6.286879655692672E+16</c:v>
                </c:pt>
                <c:pt idx="23">
                  <c:v>6.2683767397668272E+16</c:v>
                </c:pt>
                <c:pt idx="24">
                  <c:v>6.1758621601376016E+16</c:v>
                </c:pt>
                <c:pt idx="25">
                  <c:v>6.1758621601376016E+16</c:v>
                </c:pt>
                <c:pt idx="26">
                  <c:v>6.1326886896439632E+16</c:v>
                </c:pt>
                <c:pt idx="27">
                  <c:v>6.0936269782449568E+16</c:v>
                </c:pt>
                <c:pt idx="28">
                  <c:v>6.0607329054878992E+16</c:v>
                </c:pt>
                <c:pt idx="29">
                  <c:v>6.0360623509201056E+16</c:v>
                </c:pt>
                <c:pt idx="30">
                  <c:v>5.9846653622372032E+16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A-44C3-AD63-135575211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81952"/>
        <c:axId val="435892032"/>
      </c:scatterChart>
      <c:valAx>
        <c:axId val="43588195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2032"/>
        <c:crosses val="autoZero"/>
        <c:crossBetween val="midCat"/>
      </c:valAx>
      <c:valAx>
        <c:axId val="435892032"/>
        <c:scaling>
          <c:orientation val="minMax"/>
          <c:min val="6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8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65 ML 100W</a:t>
            </a:r>
            <a:r>
              <a:rPr lang="en-US" baseline="0"/>
              <a:t> 8/29/25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Sheet1!$HH$2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099999999999999"/>
                  <c:y val="-1.3480242053076784E-2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Sheet1!$HF$3:$HF$33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Sheet1!$HH$3:$HH$33</c:f>
              <c:numCache>
                <c:formatCode>0.00E+00</c:formatCode>
                <c:ptCount val="31"/>
                <c:pt idx="0">
                  <c:v>6.5068587672554952E+16</c:v>
                </c:pt>
                <c:pt idx="1">
                  <c:v>6.4369588626467472E+16</c:v>
                </c:pt>
                <c:pt idx="2">
                  <c:v>6.3691148375853168E+16</c:v>
                </c:pt>
                <c:pt idx="3">
                  <c:v>6.3177178489024136E+16</c:v>
                </c:pt>
                <c:pt idx="4">
                  <c:v>6.2724884988614584E+16</c:v>
                </c:pt>
                <c:pt idx="5">
                  <c:v>6.2354826670097688E+16</c:v>
                </c:pt>
                <c:pt idx="6">
                  <c:v>6.1676386419483368E+16</c:v>
                </c:pt>
                <c:pt idx="7">
                  <c:v>6.1388563282859112E+16</c:v>
                </c:pt>
                <c:pt idx="8">
                  <c:v>6.085403460055692E+16</c:v>
                </c:pt>
                <c:pt idx="9">
                  <c:v>6.0669005441298472E+16</c:v>
                </c:pt>
                <c:pt idx="10">
                  <c:v>6.0627887850352144E+16</c:v>
                </c:pt>
                <c:pt idx="11">
                  <c:v>5.9661624463113584E+16</c:v>
                </c:pt>
                <c:pt idx="12">
                  <c:v>5.925044855365036E+16</c:v>
                </c:pt>
                <c:pt idx="13">
                  <c:v>5.9003743007972416E+16</c:v>
                </c:pt>
                <c:pt idx="14">
                  <c:v>5.8839272644187136E+16</c:v>
                </c:pt>
                <c:pt idx="15">
                  <c:v>5.8736478666821336E+16</c:v>
                </c:pt>
                <c:pt idx="16">
                  <c:v>5.8263626370938624E+16</c:v>
                </c:pt>
                <c:pt idx="17">
                  <c:v>5.797580323431436E+16</c:v>
                </c:pt>
                <c:pt idx="18">
                  <c:v>5.8058038416207008E+16</c:v>
                </c:pt>
                <c:pt idx="19">
                  <c:v>5.7359039370119536E+16</c:v>
                </c:pt>
                <c:pt idx="20">
                  <c:v>5.7338480574646368E+16</c:v>
                </c:pt>
                <c:pt idx="21">
                  <c:v>5.628998200551516E+16</c:v>
                </c:pt>
                <c:pt idx="22">
                  <c:v>5.6022717664364064E+16</c:v>
                </c:pt>
                <c:pt idx="23">
                  <c:v>5.6084394050783544E+16</c:v>
                </c:pt>
                <c:pt idx="24">
                  <c:v>5.5981600073417736E+16</c:v>
                </c:pt>
                <c:pt idx="25">
                  <c:v>5.6043276459837232E+16</c:v>
                </c:pt>
                <c:pt idx="26">
                  <c:v>5.5118130663544976E+16</c:v>
                </c:pt>
                <c:pt idx="27">
                  <c:v>5.4686395958608584E+16</c:v>
                </c:pt>
                <c:pt idx="28">
                  <c:v>5.4480808003876984E+16</c:v>
                </c:pt>
                <c:pt idx="29">
                  <c:v>5.4439690412930648E+16</c:v>
                </c:pt>
                <c:pt idx="30">
                  <c:v>5.4069632094413752E+16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1-48EF-AFE1-D16D3C1F2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132672"/>
        <c:axId val="2142112512"/>
      </c:scatterChart>
      <c:valAx>
        <c:axId val="214213267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12512"/>
        <c:crosses val="autoZero"/>
        <c:crossBetween val="midCat"/>
      </c:valAx>
      <c:valAx>
        <c:axId val="2142112512"/>
        <c:scaling>
          <c:orientation val="minMax"/>
          <c:min val="5.3E+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3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NT 73 ML 100W 9/2/25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Sheet1!$HS$2</c:f>
              <c:strCache>
                <c:ptCount val="1"/>
                <c:pt idx="0">
                  <c:v>CO 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025240594925635"/>
                  <c:y val="-3.1998760571595217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Sheet1!$HQ$3:$HQ$33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Sheet1!$HS$3:$HS$33</c:f>
              <c:numCache>
                <c:formatCode>0.00E+00</c:formatCode>
                <c:ptCount val="31"/>
                <c:pt idx="0">
                  <c:v>7.3086517907087792E+16</c:v>
                </c:pt>
                <c:pt idx="1">
                  <c:v>7.2716459588570896E+16</c:v>
                </c:pt>
                <c:pt idx="2">
                  <c:v>7.1873548974171296E+16</c:v>
                </c:pt>
                <c:pt idx="3">
                  <c:v>7.183243138322496E+16</c:v>
                </c:pt>
                <c:pt idx="4">
                  <c:v>7.1482931860181232E+16</c:v>
                </c:pt>
                <c:pt idx="5">
                  <c:v>7.0681138836727944E+16</c:v>
                </c:pt>
                <c:pt idx="6">
                  <c:v>7.02288453363184E+16</c:v>
                </c:pt>
                <c:pt idx="7">
                  <c:v>7.0105492563479432E+16</c:v>
                </c:pt>
                <c:pt idx="8">
                  <c:v>6.9694316654016216E+16</c:v>
                </c:pt>
                <c:pt idx="9">
                  <c:v>6.9077552789821384E+16</c:v>
                </c:pt>
                <c:pt idx="10">
                  <c:v>6.891308242603608E+16</c:v>
                </c:pt>
                <c:pt idx="11">
                  <c:v>6.7802907470485384E+16</c:v>
                </c:pt>
                <c:pt idx="12">
                  <c:v>6.7987936629743832E+16</c:v>
                </c:pt>
                <c:pt idx="13">
                  <c:v>6.72683787881832E+16</c:v>
                </c:pt>
                <c:pt idx="14">
                  <c:v>6.7206702401763712E+16</c:v>
                </c:pt>
                <c:pt idx="15">
                  <c:v>6.6507703355676232E+16</c:v>
                </c:pt>
                <c:pt idx="16">
                  <c:v>6.677496769682732E+16</c:v>
                </c:pt>
                <c:pt idx="17">
                  <c:v>6.595261587790088E+16</c:v>
                </c:pt>
                <c:pt idx="18">
                  <c:v>6.5561998763910824E+16</c:v>
                </c:pt>
                <c:pt idx="19">
                  <c:v>6.5459204786545024E+16</c:v>
                </c:pt>
                <c:pt idx="20">
                  <c:v>6.51508228544476E+16</c:v>
                </c:pt>
                <c:pt idx="21">
                  <c:v>6.4801323331403856E+16</c:v>
                </c:pt>
                <c:pt idx="22">
                  <c:v>6.4205118262682192E+16</c:v>
                </c:pt>
                <c:pt idx="23">
                  <c:v>6.443126501288696E+16</c:v>
                </c:pt>
                <c:pt idx="24">
                  <c:v>6.4205118262682192E+16</c:v>
                </c:pt>
                <c:pt idx="25">
                  <c:v>6.3896736330584776E+16</c:v>
                </c:pt>
                <c:pt idx="26">
                  <c:v>6.3485560421121552E+16</c:v>
                </c:pt>
                <c:pt idx="27">
                  <c:v>6.2951031738819368E+16</c:v>
                </c:pt>
                <c:pt idx="28">
                  <c:v>6.2807120170507232E+16</c:v>
                </c:pt>
                <c:pt idx="29">
                  <c:v>6.2046444738000272E+16</c:v>
                </c:pt>
                <c:pt idx="30">
                  <c:v>6.2108121124419752E+16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CC-4D7D-A768-4AF5FCD6C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589695"/>
        <c:axId val="946570975"/>
      </c:scatterChart>
      <c:valAx>
        <c:axId val="94658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70975"/>
        <c:crosses val="autoZero"/>
        <c:crossBetween val="midCat"/>
      </c:valAx>
      <c:valAx>
        <c:axId val="9465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8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68086</xdr:colOff>
      <xdr:row>1</xdr:row>
      <xdr:rowOff>80786</xdr:rowOff>
    </xdr:from>
    <xdr:to>
      <xdr:col>10</xdr:col>
      <xdr:colOff>372886</xdr:colOff>
      <xdr:row>16</xdr:row>
      <xdr:rowOff>61736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94473-3BA0-C338-4419-159BCC89F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82903</xdr:colOff>
      <xdr:row>0</xdr:row>
      <xdr:rowOff>41980</xdr:rowOff>
    </xdr:from>
    <xdr:to>
      <xdr:col>26</xdr:col>
      <xdr:colOff>387703</xdr:colOff>
      <xdr:row>15</xdr:row>
      <xdr:rowOff>22930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EFF66-343A-8D92-F43F-9AF8C8FC6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127000</xdr:colOff>
      <xdr:row>0</xdr:row>
      <xdr:rowOff>180622</xdr:rowOff>
    </xdr:from>
    <xdr:to>
      <xdr:col>37</xdr:col>
      <xdr:colOff>451556</xdr:colOff>
      <xdr:row>15</xdr:row>
      <xdr:rowOff>172155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9122C-9E9F-35D2-8B73-3D70382A5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127000</xdr:colOff>
      <xdr:row>0</xdr:row>
      <xdr:rowOff>180622</xdr:rowOff>
    </xdr:from>
    <xdr:to>
      <xdr:col>48</xdr:col>
      <xdr:colOff>451556</xdr:colOff>
      <xdr:row>15</xdr:row>
      <xdr:rowOff>172155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7F526-4991-453C-916B-E4DA54CC4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197555</xdr:colOff>
      <xdr:row>1</xdr:row>
      <xdr:rowOff>32457</xdr:rowOff>
    </xdr:from>
    <xdr:to>
      <xdr:col>59</xdr:col>
      <xdr:colOff>522111</xdr:colOff>
      <xdr:row>16</xdr:row>
      <xdr:rowOff>23990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E4105F-4B8C-409D-C576-E4413735C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176389</xdr:colOff>
      <xdr:row>1</xdr:row>
      <xdr:rowOff>4234</xdr:rowOff>
    </xdr:from>
    <xdr:to>
      <xdr:col>70</xdr:col>
      <xdr:colOff>500944</xdr:colOff>
      <xdr:row>15</xdr:row>
      <xdr:rowOff>179211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A40A81-2195-D751-73A1-BE7F1D55B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74</xdr:col>
      <xdr:colOff>127000</xdr:colOff>
      <xdr:row>1</xdr:row>
      <xdr:rowOff>18345</xdr:rowOff>
    </xdr:from>
    <xdr:to>
      <xdr:col>81</xdr:col>
      <xdr:colOff>451556</xdr:colOff>
      <xdr:row>16</xdr:row>
      <xdr:rowOff>9878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7C8761-E06A-532B-A65E-F04302007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85</xdr:col>
      <xdr:colOff>21167</xdr:colOff>
      <xdr:row>1</xdr:row>
      <xdr:rowOff>63500</xdr:rowOff>
    </xdr:from>
    <xdr:to>
      <xdr:col>91</xdr:col>
      <xdr:colOff>599722</xdr:colOff>
      <xdr:row>14</xdr:row>
      <xdr:rowOff>6349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30D177-67EC-4302-715E-FE12BF20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95</xdr:col>
      <xdr:colOff>56446</xdr:colOff>
      <xdr:row>1</xdr:row>
      <xdr:rowOff>67733</xdr:rowOff>
    </xdr:from>
    <xdr:to>
      <xdr:col>102</xdr:col>
      <xdr:colOff>381001</xdr:colOff>
      <xdr:row>16</xdr:row>
      <xdr:rowOff>59266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D3E18AA-22D9-067F-97B7-F1732E42C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106</xdr:col>
      <xdr:colOff>169333</xdr:colOff>
      <xdr:row>1</xdr:row>
      <xdr:rowOff>53623</xdr:rowOff>
    </xdr:from>
    <xdr:to>
      <xdr:col>113</xdr:col>
      <xdr:colOff>493889</xdr:colOff>
      <xdr:row>16</xdr:row>
      <xdr:rowOff>45156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3340C7-C7D2-C712-4AED-15AE2C0D1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117</xdr:col>
      <xdr:colOff>105833</xdr:colOff>
      <xdr:row>1</xdr:row>
      <xdr:rowOff>4234</xdr:rowOff>
    </xdr:from>
    <xdr:to>
      <xdr:col>124</xdr:col>
      <xdr:colOff>430388</xdr:colOff>
      <xdr:row>15</xdr:row>
      <xdr:rowOff>179211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EDBDA0-AE08-03BA-89A4-0C077799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128</xdr:col>
      <xdr:colOff>183443</xdr:colOff>
      <xdr:row>1</xdr:row>
      <xdr:rowOff>110068</xdr:rowOff>
    </xdr:from>
    <xdr:to>
      <xdr:col>135</xdr:col>
      <xdr:colOff>507999</xdr:colOff>
      <xdr:row>16</xdr:row>
      <xdr:rowOff>101601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5761EF-4018-C1D8-FF10-3639E572E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139</xdr:col>
      <xdr:colOff>98779</xdr:colOff>
      <xdr:row>1</xdr:row>
      <xdr:rowOff>88901</xdr:rowOff>
    </xdr:from>
    <xdr:to>
      <xdr:col>146</xdr:col>
      <xdr:colOff>423334</xdr:colOff>
      <xdr:row>16</xdr:row>
      <xdr:rowOff>80434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A7A544-9FEF-9887-CDD1-51C21F50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150</xdr:col>
      <xdr:colOff>85548</xdr:colOff>
      <xdr:row>2</xdr:row>
      <xdr:rowOff>69497</xdr:rowOff>
    </xdr:from>
    <xdr:to>
      <xdr:col>157</xdr:col>
      <xdr:colOff>410104</xdr:colOff>
      <xdr:row>17</xdr:row>
      <xdr:rowOff>61030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4252C5-CD47-E7D1-7F88-7D124EAFB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161</xdr:col>
      <xdr:colOff>178594</xdr:colOff>
      <xdr:row>1</xdr:row>
      <xdr:rowOff>88900</xdr:rowOff>
    </xdr:from>
    <xdr:to>
      <xdr:col>168</xdr:col>
      <xdr:colOff>472281</xdr:colOff>
      <xdr:row>16</xdr:row>
      <xdr:rowOff>93663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785F7F-0C8F-3FF2-5ECD-A294480D8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172</xdr:col>
      <xdr:colOff>210343</xdr:colOff>
      <xdr:row>1</xdr:row>
      <xdr:rowOff>41277</xdr:rowOff>
    </xdr:from>
    <xdr:to>
      <xdr:col>179</xdr:col>
      <xdr:colOff>504031</xdr:colOff>
      <xdr:row>16</xdr:row>
      <xdr:rowOff>46040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539E3FC-6C7E-02BF-4B20-5D8135B5C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183</xdr:col>
      <xdr:colOff>146844</xdr:colOff>
      <xdr:row>1</xdr:row>
      <xdr:rowOff>17462</xdr:rowOff>
    </xdr:from>
    <xdr:to>
      <xdr:col>190</xdr:col>
      <xdr:colOff>440531</xdr:colOff>
      <xdr:row>16</xdr:row>
      <xdr:rowOff>22225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7AF560C-005C-6471-7A25-E985AE29B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194</xdr:col>
      <xdr:colOff>146844</xdr:colOff>
      <xdr:row>1</xdr:row>
      <xdr:rowOff>57150</xdr:rowOff>
    </xdr:from>
    <xdr:to>
      <xdr:col>201</xdr:col>
      <xdr:colOff>440532</xdr:colOff>
      <xdr:row>16</xdr:row>
      <xdr:rowOff>61913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CC44080-393D-B8E2-175A-181C2752D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205</xdr:col>
      <xdr:colOff>115094</xdr:colOff>
      <xdr:row>1</xdr:row>
      <xdr:rowOff>112712</xdr:rowOff>
    </xdr:from>
    <xdr:to>
      <xdr:col>212</xdr:col>
      <xdr:colOff>408781</xdr:colOff>
      <xdr:row>16</xdr:row>
      <xdr:rowOff>117475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A425130-CFDC-840A-35F8-11B50E2E7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216</xdr:col>
      <xdr:colOff>265906</xdr:colOff>
      <xdr:row>1</xdr:row>
      <xdr:rowOff>73026</xdr:rowOff>
    </xdr:from>
    <xdr:to>
      <xdr:col>223</xdr:col>
      <xdr:colOff>559594</xdr:colOff>
      <xdr:row>16</xdr:row>
      <xdr:rowOff>77789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7BC81D5-4435-F55E-F36A-550D825A1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227</xdr:col>
      <xdr:colOff>162718</xdr:colOff>
      <xdr:row>1</xdr:row>
      <xdr:rowOff>33338</xdr:rowOff>
    </xdr:from>
    <xdr:to>
      <xdr:col>234</xdr:col>
      <xdr:colOff>456405</xdr:colOff>
      <xdr:row>16</xdr:row>
      <xdr:rowOff>38101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6A2B850-284F-041E-BB65-AD40EDC5A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FACD-AA1C-44EE-8D6F-B6EDDC7E15D2}">
  <dimension ref="A1:HT82"/>
  <sheetViews>
    <sheetView tabSelected="1" topLeftCell="A34" zoomScale="80" zoomScaleNormal="80" workbookViewId="0">
      <selection activeCell="M64" sqref="M64"/>
    </sheetView>
  </sheetViews>
  <sheetFormatPr defaultRowHeight="14.5" x14ac:dyDescent="0.35"/>
  <cols>
    <col min="2" max="2" width="16.7265625" bestFit="1" customWidth="1"/>
    <col min="6" max="6" width="12.7265625" bestFit="1" customWidth="1"/>
    <col min="13" max="13" width="11.81640625" customWidth="1"/>
    <col min="15" max="15" width="10.453125" customWidth="1"/>
    <col min="19" max="19" width="9.453125" customWidth="1"/>
    <col min="30" max="30" width="9.08984375" customWidth="1"/>
    <col min="41" max="41" width="9.1796875" customWidth="1"/>
    <col min="52" max="52" width="10.54296875" style="5" customWidth="1"/>
    <col min="54" max="54" width="10.26953125" bestFit="1" customWidth="1"/>
  </cols>
  <sheetData>
    <row r="1" spans="1:228" x14ac:dyDescent="0.35">
      <c r="A1" t="s">
        <v>2</v>
      </c>
      <c r="B1" t="s">
        <v>3</v>
      </c>
      <c r="D1" s="1">
        <v>1.12E-17</v>
      </c>
      <c r="L1" s="2" t="s">
        <v>11</v>
      </c>
      <c r="Q1" t="s">
        <v>9</v>
      </c>
      <c r="R1" t="s">
        <v>10</v>
      </c>
      <c r="AB1" t="s">
        <v>2</v>
      </c>
      <c r="AC1" t="s">
        <v>10</v>
      </c>
      <c r="AE1" s="1">
        <v>1.12E-17</v>
      </c>
      <c r="AM1" t="s">
        <v>2</v>
      </c>
      <c r="AN1" t="s">
        <v>10</v>
      </c>
      <c r="AP1" s="1">
        <v>1.12E-17</v>
      </c>
      <c r="AX1" t="s">
        <v>14</v>
      </c>
      <c r="AY1" t="s">
        <v>10</v>
      </c>
      <c r="BA1" s="1">
        <v>1.12E-17</v>
      </c>
      <c r="BI1" t="s">
        <v>2</v>
      </c>
      <c r="BJ1" t="s">
        <v>25</v>
      </c>
      <c r="BL1" s="1">
        <v>1.12E-17</v>
      </c>
      <c r="BT1" t="s">
        <v>2</v>
      </c>
      <c r="BU1" t="s">
        <v>27</v>
      </c>
      <c r="BW1" s="1">
        <v>1.12E-17</v>
      </c>
      <c r="CE1" t="s">
        <v>2</v>
      </c>
      <c r="CF1" t="s">
        <v>30</v>
      </c>
      <c r="CH1" s="1">
        <v>1.12E-17</v>
      </c>
      <c r="CO1" t="s">
        <v>2</v>
      </c>
      <c r="CP1" t="s">
        <v>33</v>
      </c>
      <c r="CQ1" t="s">
        <v>34</v>
      </c>
      <c r="CR1" s="1">
        <v>1.12E-17</v>
      </c>
      <c r="CZ1" t="s">
        <v>2</v>
      </c>
      <c r="DA1" t="s">
        <v>35</v>
      </c>
      <c r="DB1" t="s">
        <v>36</v>
      </c>
      <c r="DC1" s="1">
        <v>1.12E-17</v>
      </c>
      <c r="DK1" t="s">
        <v>2</v>
      </c>
      <c r="DL1" t="s">
        <v>35</v>
      </c>
      <c r="DM1" t="s">
        <v>36</v>
      </c>
      <c r="DN1" s="1">
        <v>1.12E-17</v>
      </c>
      <c r="DV1" t="s">
        <v>2</v>
      </c>
      <c r="DW1" t="s">
        <v>35</v>
      </c>
      <c r="DX1" t="s">
        <v>36</v>
      </c>
      <c r="DY1" s="1">
        <v>1.12E-17</v>
      </c>
      <c r="EG1" t="s">
        <v>2</v>
      </c>
      <c r="EH1" t="s">
        <v>40</v>
      </c>
      <c r="EI1" t="s">
        <v>41</v>
      </c>
      <c r="EJ1" s="1">
        <v>1.12E-17</v>
      </c>
      <c r="ER1" t="s">
        <v>2</v>
      </c>
      <c r="ES1" t="s">
        <v>44</v>
      </c>
      <c r="ET1" t="s">
        <v>45</v>
      </c>
      <c r="EU1" s="1">
        <v>1.12E-17</v>
      </c>
      <c r="FC1" t="s">
        <v>2</v>
      </c>
      <c r="FD1" t="s">
        <v>46</v>
      </c>
      <c r="FE1" t="s">
        <v>47</v>
      </c>
      <c r="FF1" s="1">
        <v>1.12E-17</v>
      </c>
      <c r="FN1" t="s">
        <v>2</v>
      </c>
      <c r="FO1" t="s">
        <v>46</v>
      </c>
      <c r="FP1" t="s">
        <v>47</v>
      </c>
      <c r="FQ1" s="1">
        <v>1.12E-17</v>
      </c>
      <c r="FY1" t="s">
        <v>2</v>
      </c>
      <c r="FZ1" t="s">
        <v>49</v>
      </c>
      <c r="GA1" t="s">
        <v>49</v>
      </c>
      <c r="GB1" s="1">
        <v>1.12E-17</v>
      </c>
      <c r="GJ1" t="s">
        <v>2</v>
      </c>
      <c r="GK1" t="s">
        <v>49</v>
      </c>
      <c r="GL1" t="s">
        <v>49</v>
      </c>
      <c r="GM1" s="1">
        <v>1.12E-17</v>
      </c>
      <c r="GU1" t="s">
        <v>2</v>
      </c>
      <c r="GV1" t="s">
        <v>49</v>
      </c>
      <c r="GW1" t="s">
        <v>49</v>
      </c>
      <c r="GX1" s="1">
        <v>1.12E-17</v>
      </c>
      <c r="HF1" t="s">
        <v>2</v>
      </c>
      <c r="HG1" t="s">
        <v>54</v>
      </c>
      <c r="HH1" t="s">
        <v>54</v>
      </c>
      <c r="HI1" s="1">
        <v>1.12E-17</v>
      </c>
      <c r="HQ1" t="s">
        <v>2</v>
      </c>
      <c r="HR1" t="s">
        <v>54</v>
      </c>
      <c r="HS1" t="s">
        <v>54</v>
      </c>
      <c r="HT1" s="1">
        <v>1.12E-17</v>
      </c>
    </row>
    <row r="2" spans="1:228" x14ac:dyDescent="0.35">
      <c r="A2" t="s">
        <v>0</v>
      </c>
      <c r="B2" t="s">
        <v>1</v>
      </c>
      <c r="C2" t="s">
        <v>4</v>
      </c>
      <c r="L2" t="s">
        <v>5</v>
      </c>
      <c r="M2" s="1">
        <v>-94318000000000</v>
      </c>
      <c r="Q2" t="s">
        <v>0</v>
      </c>
      <c r="R2" t="s">
        <v>1</v>
      </c>
      <c r="S2" t="s">
        <v>4</v>
      </c>
      <c r="AB2" t="s">
        <v>0</v>
      </c>
      <c r="AC2" t="s">
        <v>1</v>
      </c>
      <c r="AD2" t="s">
        <v>4</v>
      </c>
      <c r="AM2" t="s">
        <v>0</v>
      </c>
      <c r="AN2" t="s">
        <v>1</v>
      </c>
      <c r="AO2" t="s">
        <v>4</v>
      </c>
      <c r="AX2" t="s">
        <v>0</v>
      </c>
      <c r="AY2" t="s">
        <v>1</v>
      </c>
      <c r="AZ2" s="5" t="s">
        <v>4</v>
      </c>
      <c r="BI2" t="s">
        <v>0</v>
      </c>
      <c r="BJ2" t="s">
        <v>1</v>
      </c>
      <c r="BK2" t="s">
        <v>4</v>
      </c>
      <c r="BT2" t="s">
        <v>0</v>
      </c>
      <c r="BU2" t="s">
        <v>1</v>
      </c>
      <c r="BV2" t="s">
        <v>4</v>
      </c>
      <c r="CE2" t="s">
        <v>0</v>
      </c>
      <c r="CF2" t="s">
        <v>1</v>
      </c>
      <c r="CG2" t="s">
        <v>4</v>
      </c>
      <c r="CO2" t="s">
        <v>0</v>
      </c>
      <c r="CP2" t="s">
        <v>1</v>
      </c>
      <c r="CQ2" t="s">
        <v>4</v>
      </c>
      <c r="CZ2" t="s">
        <v>0</v>
      </c>
      <c r="DA2" t="s">
        <v>1</v>
      </c>
      <c r="DB2" t="s">
        <v>4</v>
      </c>
      <c r="DK2" t="s">
        <v>0</v>
      </c>
      <c r="DL2" t="s">
        <v>1</v>
      </c>
      <c r="DM2" t="s">
        <v>4</v>
      </c>
      <c r="DV2" t="s">
        <v>0</v>
      </c>
      <c r="DW2" t="s">
        <v>1</v>
      </c>
      <c r="DX2" t="s">
        <v>4</v>
      </c>
      <c r="EG2" t="s">
        <v>0</v>
      </c>
      <c r="EH2" t="s">
        <v>1</v>
      </c>
      <c r="EI2" t="s">
        <v>4</v>
      </c>
      <c r="ER2" t="s">
        <v>0</v>
      </c>
      <c r="ES2" t="s">
        <v>1</v>
      </c>
      <c r="ET2" t="s">
        <v>4</v>
      </c>
      <c r="FC2" t="s">
        <v>0</v>
      </c>
      <c r="FD2" t="s">
        <v>1</v>
      </c>
      <c r="FE2" t="s">
        <v>4</v>
      </c>
      <c r="FN2" t="s">
        <v>0</v>
      </c>
      <c r="FO2" t="s">
        <v>1</v>
      </c>
      <c r="FP2" t="s">
        <v>4</v>
      </c>
      <c r="FY2" t="s">
        <v>0</v>
      </c>
      <c r="FZ2" t="s">
        <v>1</v>
      </c>
      <c r="GA2" t="s">
        <v>4</v>
      </c>
      <c r="GJ2" t="s">
        <v>0</v>
      </c>
      <c r="GK2" t="s">
        <v>1</v>
      </c>
      <c r="GL2" t="s">
        <v>4</v>
      </c>
      <c r="GU2" t="s">
        <v>0</v>
      </c>
      <c r="GV2" t="s">
        <v>1</v>
      </c>
      <c r="GW2" t="s">
        <v>4</v>
      </c>
      <c r="HF2" t="s">
        <v>0</v>
      </c>
      <c r="HG2" t="s">
        <v>1</v>
      </c>
      <c r="HH2" t="s">
        <v>4</v>
      </c>
      <c r="HQ2" t="s">
        <v>0</v>
      </c>
      <c r="HR2" t="s">
        <v>1</v>
      </c>
      <c r="HS2" t="s">
        <v>4</v>
      </c>
    </row>
    <row r="3" spans="1:228" x14ac:dyDescent="0.35">
      <c r="A3">
        <v>0</v>
      </c>
      <c r="B3">
        <v>0.81100000000000005</v>
      </c>
      <c r="C3" s="1">
        <f t="shared" ref="C3:C48" si="0">(LN(10)*B3)/D$1</f>
        <v>1.667318312873367E+17</v>
      </c>
      <c r="L3" t="s">
        <v>6</v>
      </c>
      <c r="M3" s="1">
        <v>150000000000000</v>
      </c>
      <c r="N3" t="s">
        <v>7</v>
      </c>
      <c r="O3" s="1">
        <v>-332000000000000</v>
      </c>
      <c r="Q3">
        <v>0</v>
      </c>
      <c r="R3">
        <v>0.84</v>
      </c>
      <c r="S3" s="1">
        <f>(LN(10)*R3)/AE$1</f>
        <v>1.7269388197455344E+17</v>
      </c>
      <c r="AB3">
        <v>3</v>
      </c>
      <c r="AC3">
        <v>0.91500000000000004</v>
      </c>
      <c r="AD3" s="1">
        <f>(LN(10)*AC3)/AE$1</f>
        <v>1.8811297857942429E+17</v>
      </c>
      <c r="AM3">
        <v>2.5</v>
      </c>
      <c r="AN3">
        <v>0.89100000000000001</v>
      </c>
      <c r="AO3" s="1">
        <f>(LN(10)*AN3)/AP$1</f>
        <v>1.831788676658656E+17</v>
      </c>
      <c r="AX3">
        <v>0</v>
      </c>
      <c r="AY3">
        <v>1.0429999999999999</v>
      </c>
      <c r="AZ3" s="5">
        <f>(LN(10)*AY3)/BA$1</f>
        <v>2.144282367850705E+17</v>
      </c>
      <c r="BI3">
        <v>0</v>
      </c>
      <c r="BJ3">
        <v>0.1242</v>
      </c>
      <c r="BK3" s="1">
        <f t="shared" ref="BK3:BK16" si="1">(LN(10)*BJ3)/BL$1</f>
        <v>2.5534023977666116E+16</v>
      </c>
      <c r="BT3">
        <v>0</v>
      </c>
      <c r="BU3">
        <v>0.16220000000000001</v>
      </c>
      <c r="BV3" s="1">
        <f t="shared" ref="BV3:BV11" si="2">(LN(10)*BU3)/BW$1</f>
        <v>3.3346366257467344E+16</v>
      </c>
      <c r="CE3">
        <v>0</v>
      </c>
      <c r="CF3">
        <v>0.70499999999999996</v>
      </c>
      <c r="CG3" s="1">
        <f t="shared" ref="CG3:CG16" si="3">(LN(10)*CF3)/CH$1</f>
        <v>1.4493950808578592E+17</v>
      </c>
      <c r="CO3" s="3">
        <v>0</v>
      </c>
      <c r="CP3">
        <v>0.73199999999999998</v>
      </c>
      <c r="CQ3" s="1">
        <f t="shared" ref="CQ3:CQ16" si="4">(LN(10)*CP3)/CR$1</f>
        <v>1.5049038286353942E+17</v>
      </c>
      <c r="CZ3" s="4">
        <v>0</v>
      </c>
      <c r="DA3">
        <v>0.73099999999999998</v>
      </c>
      <c r="DB3" s="1">
        <f t="shared" ref="DB3:DB16" si="5">(LN(10)*DA3)/DC$1</f>
        <v>1.5028479490880781E+17</v>
      </c>
      <c r="DK3" s="4">
        <v>0</v>
      </c>
      <c r="DL3">
        <v>0.67</v>
      </c>
      <c r="DM3" s="1">
        <f t="shared" ref="DM3:DM16" si="6">(LN(10)*DL3)/DN$1</f>
        <v>1.3774392967017954E+17</v>
      </c>
      <c r="DV3" s="4">
        <v>0</v>
      </c>
      <c r="DW3">
        <v>0.54400000000000004</v>
      </c>
      <c r="DX3" s="1">
        <f t="shared" ref="DX3:DX16" si="7">(LN(10)*DW3)/DY$1</f>
        <v>1.1183984737399653E+17</v>
      </c>
      <c r="EG3" s="4">
        <v>0</v>
      </c>
      <c r="EH3">
        <v>0.50800000000000001</v>
      </c>
      <c r="EI3" s="1">
        <f t="shared" ref="EI3:EI16" si="8">(LN(10)*EH3)/EJ$1</f>
        <v>1.0443868100365851E+17</v>
      </c>
      <c r="ER3" s="4">
        <v>0</v>
      </c>
      <c r="ES3">
        <v>0.51</v>
      </c>
      <c r="ET3" s="1">
        <f t="shared" ref="ET3:ET16" si="9">(LN(10)*ES3)/EU$1</f>
        <v>1.0484985691312174E+17</v>
      </c>
      <c r="FC3" s="4">
        <v>0</v>
      </c>
      <c r="FD3">
        <v>0.40539999999999998</v>
      </c>
      <c r="FE3" s="1">
        <f t="shared" ref="FE3:FE16" si="10">(LN(10)*FD3)/FF$1</f>
        <v>8.33453568481952E+16</v>
      </c>
      <c r="FN3" s="4">
        <v>0</v>
      </c>
      <c r="FO3">
        <v>0.41199999999999998</v>
      </c>
      <c r="FP3" s="1">
        <f t="shared" ref="FP3:FP16" si="11">(LN(10)*FO3)/FQ$1</f>
        <v>8.4702237349423824E+16</v>
      </c>
      <c r="FY3" s="4">
        <v>0</v>
      </c>
      <c r="FZ3">
        <v>0.442</v>
      </c>
      <c r="GA3" s="1">
        <f t="shared" ref="GA3:GA16" si="12">(LN(10)*FZ3)/GB$1</f>
        <v>9.086987599137216E+16</v>
      </c>
      <c r="GJ3" s="4">
        <v>0</v>
      </c>
      <c r="GK3">
        <v>0.34389999999999998</v>
      </c>
      <c r="GL3" s="1">
        <f t="shared" ref="GL3:GL16" si="13">(LN(10)*GK3)/GM$1</f>
        <v>7.0701697632201096E+16</v>
      </c>
      <c r="GU3" s="4">
        <v>0</v>
      </c>
      <c r="GV3">
        <v>0.3533</v>
      </c>
      <c r="GW3" s="1">
        <f t="shared" ref="GW3:GW16" si="14">(LN(10)*GV3)/GX$1</f>
        <v>7.2634224406678256E+16</v>
      </c>
      <c r="HF3" s="4">
        <v>0</v>
      </c>
      <c r="HG3">
        <v>0.3165</v>
      </c>
      <c r="HH3" s="1">
        <f t="shared" ref="HH3:HH17" si="15">(LN(10)*HG3)/HI$1</f>
        <v>6.5068587672554952E+16</v>
      </c>
      <c r="HQ3" s="4">
        <v>0</v>
      </c>
      <c r="HR3">
        <v>0.35549999999999998</v>
      </c>
      <c r="HS3" s="1">
        <f t="shared" ref="HS3:HS30" si="16">(LN(10)*HR3)/HT$1</f>
        <v>7.3086517907087792E+16</v>
      </c>
    </row>
    <row r="4" spans="1:228" x14ac:dyDescent="0.35">
      <c r="A4">
        <v>2.5</v>
      </c>
      <c r="B4">
        <v>0.81200000000000006</v>
      </c>
      <c r="C4" s="1">
        <f t="shared" si="0"/>
        <v>1.6693741924206832E+17</v>
      </c>
      <c r="L4" t="s">
        <v>8</v>
      </c>
      <c r="M4" s="1">
        <f>(M3*M2)/O3</f>
        <v>42613554216867.469</v>
      </c>
      <c r="Q4">
        <v>2.5</v>
      </c>
      <c r="R4">
        <v>0.83799999999999997</v>
      </c>
      <c r="S4" s="1">
        <f t="shared" ref="S4:S46" si="17">(LN(10)*R4)/AE$1</f>
        <v>1.7228270606509021E+17</v>
      </c>
      <c r="AB4">
        <v>4.5</v>
      </c>
      <c r="AC4">
        <v>0.91500000000000004</v>
      </c>
      <c r="AD4" s="1">
        <f t="shared" ref="AD4:AD44" si="18">(LN(10)*AC4)/AE$1</f>
        <v>1.8811297857942429E+17</v>
      </c>
      <c r="AM4">
        <v>4.5</v>
      </c>
      <c r="AN4">
        <v>0.89300000000000002</v>
      </c>
      <c r="AO4" s="1">
        <f t="shared" ref="AO4:AO45" si="19">(LN(10)*AN4)/AP$1</f>
        <v>1.8359004357532883E+17</v>
      </c>
      <c r="AX4">
        <v>2.5</v>
      </c>
      <c r="AY4">
        <v>1.04</v>
      </c>
      <c r="AZ4" s="5">
        <f>(LN(10)*AY4)/BA$1</f>
        <v>2.1381147292087568E+17</v>
      </c>
      <c r="BI4">
        <v>2</v>
      </c>
      <c r="BJ4">
        <v>0.1012</v>
      </c>
      <c r="BK4" s="1">
        <f t="shared" si="1"/>
        <v>2.0805501018839056E+16</v>
      </c>
      <c r="BT4">
        <v>3</v>
      </c>
      <c r="BU4">
        <v>0.13139999999999999</v>
      </c>
      <c r="BV4" s="1">
        <f t="shared" si="2"/>
        <v>2.7014257251733716E+16</v>
      </c>
      <c r="CE4">
        <v>3</v>
      </c>
      <c r="CF4">
        <v>0.7</v>
      </c>
      <c r="CG4" s="1">
        <f t="shared" si="3"/>
        <v>1.4391156831212784E+17</v>
      </c>
      <c r="CO4" s="3">
        <v>2</v>
      </c>
      <c r="CP4">
        <v>0.73199999999999998</v>
      </c>
      <c r="CQ4" s="1">
        <f t="shared" si="4"/>
        <v>1.5049038286353942E+17</v>
      </c>
      <c r="CZ4" s="4">
        <v>2</v>
      </c>
      <c r="DA4">
        <v>0.73299999999999998</v>
      </c>
      <c r="DB4" s="1">
        <f t="shared" si="5"/>
        <v>1.5069597081827101E+17</v>
      </c>
      <c r="DK4" s="4">
        <v>2</v>
      </c>
      <c r="DL4">
        <v>0.66800000000000004</v>
      </c>
      <c r="DM4" s="1">
        <f t="shared" si="6"/>
        <v>1.373327537607163E+17</v>
      </c>
      <c r="DV4" s="4">
        <v>2</v>
      </c>
      <c r="DW4">
        <v>0.54300000000000004</v>
      </c>
      <c r="DX4" s="1">
        <f t="shared" si="7"/>
        <v>1.1163425941926491E+17</v>
      </c>
      <c r="EG4" s="4">
        <v>2</v>
      </c>
      <c r="EH4">
        <v>0.50600000000000001</v>
      </c>
      <c r="EI4" s="1">
        <f t="shared" si="8"/>
        <v>1.0402750509419528E+17</v>
      </c>
      <c r="ER4" s="4">
        <v>2</v>
      </c>
      <c r="ES4">
        <v>0.50600000000000001</v>
      </c>
      <c r="ET4" s="1">
        <f t="shared" si="9"/>
        <v>1.0402750509419528E+17</v>
      </c>
      <c r="FC4" s="4">
        <v>2</v>
      </c>
      <c r="FD4">
        <v>0.40450000000000003</v>
      </c>
      <c r="FE4" s="1">
        <f t="shared" si="10"/>
        <v>8.3160327688936752E+16</v>
      </c>
      <c r="FN4" s="4">
        <v>2</v>
      </c>
      <c r="FO4">
        <v>0.40899999999999997</v>
      </c>
      <c r="FP4" s="1">
        <f t="shared" si="11"/>
        <v>8.4085473485228992E+16</v>
      </c>
      <c r="FY4" s="4">
        <v>2</v>
      </c>
      <c r="FZ4">
        <v>0.439</v>
      </c>
      <c r="GA4" s="1">
        <f t="shared" si="12"/>
        <v>9.0253112127177344E+16</v>
      </c>
      <c r="GJ4" s="4">
        <v>2</v>
      </c>
      <c r="GK4">
        <v>0.33810000000000001</v>
      </c>
      <c r="GL4" s="1">
        <f t="shared" si="13"/>
        <v>6.950928749475776E+16</v>
      </c>
      <c r="GU4" s="4">
        <v>2</v>
      </c>
      <c r="GV4">
        <v>0.3513</v>
      </c>
      <c r="GW4" s="1">
        <f t="shared" si="14"/>
        <v>7.2223048497215024E+16</v>
      </c>
      <c r="HF4" s="4">
        <v>2</v>
      </c>
      <c r="HG4">
        <v>0.31309999999999999</v>
      </c>
      <c r="HH4" s="1">
        <f t="shared" si="15"/>
        <v>6.4369588626467472E+16</v>
      </c>
      <c r="HQ4" s="4">
        <v>2</v>
      </c>
      <c r="HR4">
        <v>0.35370000000000001</v>
      </c>
      <c r="HS4" s="1">
        <f t="shared" si="16"/>
        <v>7.2716459588570896E+16</v>
      </c>
    </row>
    <row r="5" spans="1:228" x14ac:dyDescent="0.35">
      <c r="A5">
        <v>4.5</v>
      </c>
      <c r="B5">
        <v>0.81100000000000005</v>
      </c>
      <c r="C5" s="1">
        <f t="shared" si="0"/>
        <v>1.667318312873367E+17</v>
      </c>
      <c r="L5" s="2" t="s">
        <v>12</v>
      </c>
      <c r="Q5">
        <v>4.5</v>
      </c>
      <c r="R5">
        <v>0.83699999999999997</v>
      </c>
      <c r="S5" s="1">
        <f t="shared" si="17"/>
        <v>1.7207711811035859E+17</v>
      </c>
      <c r="AB5">
        <v>6.5</v>
      </c>
      <c r="AC5">
        <v>0.91300000000000003</v>
      </c>
      <c r="AD5" s="1">
        <f t="shared" si="18"/>
        <v>1.8770180266996106E+17</v>
      </c>
      <c r="AM5">
        <v>6.5</v>
      </c>
      <c r="AN5">
        <v>0.88400000000000001</v>
      </c>
      <c r="AO5" s="1">
        <f t="shared" si="19"/>
        <v>1.8173975198274432E+17</v>
      </c>
      <c r="AX5">
        <v>4.5</v>
      </c>
      <c r="AY5">
        <v>1.038</v>
      </c>
      <c r="AZ5" s="5">
        <f t="shared" ref="AZ5:AZ44" si="20">(LN(10)*AY5)/BA$1</f>
        <v>2.1340029701141245E+17</v>
      </c>
      <c r="BI5">
        <v>3</v>
      </c>
      <c r="BJ5">
        <v>0.10150000000000001</v>
      </c>
      <c r="BK5" s="1">
        <f t="shared" si="1"/>
        <v>2.086717740525854E+16</v>
      </c>
      <c r="BT5">
        <v>4</v>
      </c>
      <c r="BU5">
        <v>0.1202</v>
      </c>
      <c r="BV5" s="1">
        <f t="shared" si="2"/>
        <v>2.4711672158739672E+16</v>
      </c>
      <c r="CE5">
        <v>4</v>
      </c>
      <c r="CF5">
        <v>0.69399999999999995</v>
      </c>
      <c r="CG5" s="1">
        <f t="shared" si="3"/>
        <v>1.4267804058373818E+17</v>
      </c>
      <c r="CO5" s="3">
        <v>4</v>
      </c>
      <c r="CP5">
        <v>0.73099999999999998</v>
      </c>
      <c r="CQ5" s="1">
        <f t="shared" si="4"/>
        <v>1.5028479490880781E+17</v>
      </c>
      <c r="CZ5" s="4">
        <v>4</v>
      </c>
      <c r="DA5">
        <v>0.73299999999999998</v>
      </c>
      <c r="DB5" s="1">
        <f t="shared" si="5"/>
        <v>1.5069597081827101E+17</v>
      </c>
      <c r="DK5" s="4">
        <v>4</v>
      </c>
      <c r="DL5">
        <v>0.66600000000000004</v>
      </c>
      <c r="DM5" s="1">
        <f t="shared" si="6"/>
        <v>1.3692157785125307E+17</v>
      </c>
      <c r="DV5" s="4">
        <v>4</v>
      </c>
      <c r="DW5">
        <v>0.53800000000000003</v>
      </c>
      <c r="DX5" s="1">
        <f t="shared" si="7"/>
        <v>1.1060631964560685E+17</v>
      </c>
      <c r="EG5" s="4">
        <v>4</v>
      </c>
      <c r="EH5">
        <v>0.50600000000000001</v>
      </c>
      <c r="EI5" s="1">
        <f t="shared" si="8"/>
        <v>1.0402750509419528E+17</v>
      </c>
      <c r="ER5" s="4">
        <v>4</v>
      </c>
      <c r="ES5">
        <v>0.499</v>
      </c>
      <c r="ET5" s="1">
        <f t="shared" si="9"/>
        <v>1.02588389411074E+17</v>
      </c>
      <c r="FC5" s="4">
        <v>4</v>
      </c>
      <c r="FD5">
        <v>0.40250000000000002</v>
      </c>
      <c r="FE5" s="1">
        <f t="shared" si="10"/>
        <v>8.274915177947352E+16</v>
      </c>
      <c r="FN5" s="4">
        <v>4</v>
      </c>
      <c r="FO5">
        <v>0.40400000000000003</v>
      </c>
      <c r="FP5" s="1">
        <f t="shared" si="11"/>
        <v>8.3057533711570944E+16</v>
      </c>
      <c r="FY5" s="4">
        <v>4</v>
      </c>
      <c r="FZ5">
        <v>0.438</v>
      </c>
      <c r="GA5" s="1">
        <f t="shared" si="12"/>
        <v>9.0047524172445728E+16</v>
      </c>
      <c r="GJ5" s="4">
        <v>4</v>
      </c>
      <c r="GK5">
        <v>0.33529999999999999</v>
      </c>
      <c r="GL5" s="1">
        <f t="shared" si="13"/>
        <v>6.893364122150924E+16</v>
      </c>
      <c r="GU5" s="4">
        <v>4</v>
      </c>
      <c r="GV5">
        <v>0.3463</v>
      </c>
      <c r="GW5" s="1">
        <f t="shared" si="14"/>
        <v>7.1195108723556968E+16</v>
      </c>
      <c r="HF5" s="4">
        <v>4</v>
      </c>
      <c r="HG5">
        <v>0.30980000000000002</v>
      </c>
      <c r="HH5" s="1">
        <f t="shared" si="15"/>
        <v>6.3691148375853168E+16</v>
      </c>
      <c r="HQ5" s="4">
        <v>4</v>
      </c>
      <c r="HR5">
        <v>0.34960000000000002</v>
      </c>
      <c r="HS5" s="1">
        <f t="shared" si="16"/>
        <v>7.1873548974171296E+16</v>
      </c>
    </row>
    <row r="6" spans="1:228" x14ac:dyDescent="0.35">
      <c r="A6">
        <v>6.5</v>
      </c>
      <c r="B6">
        <v>0.80800000000000005</v>
      </c>
      <c r="C6" s="1">
        <f t="shared" si="0"/>
        <v>1.6611506742314189E+17</v>
      </c>
      <c r="L6" t="s">
        <v>5</v>
      </c>
      <c r="M6" s="1">
        <v>-54800000000000</v>
      </c>
      <c r="Q6">
        <v>6.5</v>
      </c>
      <c r="R6">
        <v>0.83899999999999997</v>
      </c>
      <c r="S6" s="1">
        <f t="shared" si="17"/>
        <v>1.7248829401982182E+17</v>
      </c>
      <c r="AB6">
        <v>8.5</v>
      </c>
      <c r="AC6">
        <v>0.91400000000000003</v>
      </c>
      <c r="AD6" s="1">
        <f t="shared" si="18"/>
        <v>1.8790739062469267E+17</v>
      </c>
      <c r="AM6">
        <v>8.5</v>
      </c>
      <c r="AN6">
        <v>0.88700000000000001</v>
      </c>
      <c r="AO6" s="1">
        <f t="shared" si="19"/>
        <v>1.8235651584693914E+17</v>
      </c>
      <c r="AX6">
        <v>6.5</v>
      </c>
      <c r="AY6">
        <v>1.0369999999999999</v>
      </c>
      <c r="AZ6" s="5">
        <f t="shared" si="20"/>
        <v>2.1319470905668083E+17</v>
      </c>
      <c r="BI6">
        <v>6.5</v>
      </c>
      <c r="BJ6">
        <v>9.5100000000000004E-2</v>
      </c>
      <c r="BK6" s="1">
        <f t="shared" si="1"/>
        <v>1.9551414494976228E+16</v>
      </c>
      <c r="BT6">
        <v>6</v>
      </c>
      <c r="BU6">
        <v>0.11070000000000001</v>
      </c>
      <c r="BV6" s="1">
        <f t="shared" si="2"/>
        <v>2.2758586588789364E+16</v>
      </c>
      <c r="CE6">
        <v>6</v>
      </c>
      <c r="CF6">
        <v>0.69499999999999995</v>
      </c>
      <c r="CG6" s="1">
        <f t="shared" si="3"/>
        <v>1.4288362853846979E+17</v>
      </c>
      <c r="CO6" s="3">
        <v>6</v>
      </c>
      <c r="CP6">
        <v>0.72699999999999998</v>
      </c>
      <c r="CQ6" s="1">
        <f t="shared" si="4"/>
        <v>1.4946244308988134E+17</v>
      </c>
      <c r="CZ6" s="4">
        <v>6</v>
      </c>
      <c r="DA6">
        <v>0.73199999999999998</v>
      </c>
      <c r="DB6" s="1">
        <f t="shared" si="5"/>
        <v>1.5049038286353942E+17</v>
      </c>
      <c r="DK6" s="4">
        <v>6</v>
      </c>
      <c r="DL6">
        <v>0.66300000000000003</v>
      </c>
      <c r="DM6" s="1">
        <f t="shared" si="6"/>
        <v>1.3630481398705826E+17</v>
      </c>
      <c r="DV6" s="4">
        <v>6</v>
      </c>
      <c r="DW6">
        <v>0.53900000000000003</v>
      </c>
      <c r="DX6" s="1">
        <f t="shared" si="7"/>
        <v>1.1081190760033845E+17</v>
      </c>
      <c r="EG6" s="4">
        <v>6</v>
      </c>
      <c r="EH6">
        <v>0.5</v>
      </c>
      <c r="EI6" s="1">
        <f t="shared" si="8"/>
        <v>1.0279397736580562E+17</v>
      </c>
      <c r="ER6" s="4">
        <v>6</v>
      </c>
      <c r="ES6">
        <v>0.499</v>
      </c>
      <c r="ET6" s="1">
        <f t="shared" si="9"/>
        <v>1.02588389411074E+17</v>
      </c>
      <c r="FC6" s="4">
        <v>6</v>
      </c>
      <c r="FD6">
        <v>0.40139999999999998</v>
      </c>
      <c r="FE6" s="1">
        <f t="shared" si="10"/>
        <v>8.2523005029268752E+16</v>
      </c>
      <c r="FN6" s="4">
        <v>6</v>
      </c>
      <c r="FO6">
        <v>0.40200000000000002</v>
      </c>
      <c r="FP6" s="1">
        <f t="shared" si="11"/>
        <v>8.2646357802107712E+16</v>
      </c>
      <c r="FY6" s="4">
        <v>6</v>
      </c>
      <c r="FZ6">
        <v>0.433</v>
      </c>
      <c r="GA6" s="1">
        <f t="shared" si="12"/>
        <v>8.9019584398787664E+16</v>
      </c>
      <c r="GJ6" s="4">
        <v>6</v>
      </c>
      <c r="GK6">
        <v>0.33289999999999997</v>
      </c>
      <c r="GL6" s="1">
        <f t="shared" si="13"/>
        <v>6.8440230130153368E+16</v>
      </c>
      <c r="GU6" s="4">
        <v>6</v>
      </c>
      <c r="GV6">
        <v>0.34370000000000001</v>
      </c>
      <c r="GW6" s="1">
        <f t="shared" si="14"/>
        <v>7.0660580041254784E+16</v>
      </c>
      <c r="HF6" s="4">
        <v>6</v>
      </c>
      <c r="HG6">
        <v>0.30730000000000002</v>
      </c>
      <c r="HH6" s="1">
        <f t="shared" si="15"/>
        <v>6.3177178489024136E+16</v>
      </c>
      <c r="HQ6" s="4">
        <v>6</v>
      </c>
      <c r="HR6">
        <v>0.34939999999999999</v>
      </c>
      <c r="HS6" s="1">
        <f t="shared" si="16"/>
        <v>7.183243138322496E+16</v>
      </c>
    </row>
    <row r="7" spans="1:228" x14ac:dyDescent="0.35">
      <c r="A7">
        <v>8.5</v>
      </c>
      <c r="B7">
        <v>0.80900000000000005</v>
      </c>
      <c r="C7" s="1">
        <f t="shared" si="0"/>
        <v>1.663206553778735E+17</v>
      </c>
      <c r="L7" t="s">
        <v>8</v>
      </c>
      <c r="M7" s="1">
        <f>(M6*M$3)/O$3</f>
        <v>24759036144578.313</v>
      </c>
      <c r="Q7">
        <v>8.5</v>
      </c>
      <c r="R7">
        <v>0.83799999999999997</v>
      </c>
      <c r="S7" s="1">
        <f t="shared" si="17"/>
        <v>1.7228270606509021E+17</v>
      </c>
      <c r="AB7">
        <v>10.5</v>
      </c>
      <c r="AC7">
        <v>0.91200000000000003</v>
      </c>
      <c r="AD7" s="1">
        <f t="shared" si="18"/>
        <v>1.8749621471522944E+17</v>
      </c>
      <c r="AM7">
        <v>10.5</v>
      </c>
      <c r="AN7">
        <v>0.88900000000000001</v>
      </c>
      <c r="AO7" s="1">
        <f t="shared" si="19"/>
        <v>1.8276769175640237E+17</v>
      </c>
      <c r="AX7">
        <v>8.5</v>
      </c>
      <c r="AY7">
        <v>1.0349999999999999</v>
      </c>
      <c r="AZ7" s="5">
        <f t="shared" si="20"/>
        <v>2.127835331472176E+17</v>
      </c>
      <c r="BI7">
        <v>8.5</v>
      </c>
      <c r="BJ7">
        <v>9.3100000000000002E-2</v>
      </c>
      <c r="BK7" s="1">
        <f t="shared" si="1"/>
        <v>1.9140238585513008E+16</v>
      </c>
      <c r="BT7">
        <v>8</v>
      </c>
      <c r="BU7">
        <v>9.5699999999999993E-2</v>
      </c>
      <c r="BV7" s="1">
        <f t="shared" si="2"/>
        <v>1.9674767267815192E+16</v>
      </c>
      <c r="CE7">
        <v>8</v>
      </c>
      <c r="CF7">
        <v>0.68799999999999994</v>
      </c>
      <c r="CG7" s="1">
        <f t="shared" si="3"/>
        <v>1.4144451285534851E+17</v>
      </c>
      <c r="CO7" s="3">
        <v>8</v>
      </c>
      <c r="CP7">
        <v>0.72699999999999998</v>
      </c>
      <c r="CQ7" s="1">
        <f t="shared" si="4"/>
        <v>1.4946244308988134E+17</v>
      </c>
      <c r="CZ7" s="4">
        <v>8</v>
      </c>
      <c r="DA7">
        <v>0.72799999999999998</v>
      </c>
      <c r="DB7" s="1">
        <f t="shared" si="5"/>
        <v>1.4966803104461296E+17</v>
      </c>
      <c r="DK7" s="4">
        <v>8</v>
      </c>
      <c r="DL7">
        <v>0.66200000000000003</v>
      </c>
      <c r="DM7" s="1">
        <f t="shared" si="6"/>
        <v>1.3609922603232664E+17</v>
      </c>
      <c r="DV7" s="4">
        <v>8</v>
      </c>
      <c r="DW7">
        <v>0.53400000000000003</v>
      </c>
      <c r="DX7" s="1">
        <f t="shared" si="7"/>
        <v>1.097839678266804E+17</v>
      </c>
      <c r="EG7" s="4">
        <v>8</v>
      </c>
      <c r="EH7">
        <v>0.502</v>
      </c>
      <c r="EI7" s="1">
        <f t="shared" si="8"/>
        <v>1.0320515327526885E+17</v>
      </c>
      <c r="ER7" s="4">
        <v>8</v>
      </c>
      <c r="ES7">
        <v>0.497</v>
      </c>
      <c r="ET7" s="1">
        <f t="shared" si="9"/>
        <v>1.0217721350161077E+17</v>
      </c>
      <c r="FC7" s="4">
        <v>8</v>
      </c>
      <c r="FD7">
        <v>0.3997</v>
      </c>
      <c r="FE7" s="1">
        <f t="shared" si="10"/>
        <v>8.2173505506225008E+16</v>
      </c>
      <c r="FN7" s="4">
        <v>8</v>
      </c>
      <c r="FO7">
        <v>0.39900000000000002</v>
      </c>
      <c r="FP7" s="1">
        <f t="shared" si="11"/>
        <v>8.202959393791288E+16</v>
      </c>
      <c r="FY7" s="4">
        <v>8</v>
      </c>
      <c r="FZ7">
        <v>0.43</v>
      </c>
      <c r="GA7" s="1">
        <f t="shared" si="12"/>
        <v>8.8402820534592832E+16</v>
      </c>
      <c r="GJ7" s="4">
        <v>8</v>
      </c>
      <c r="GK7">
        <v>0.3296</v>
      </c>
      <c r="GL7" s="1">
        <f t="shared" si="13"/>
        <v>6.7761789879539064E+16</v>
      </c>
      <c r="GU7" s="4">
        <v>8</v>
      </c>
      <c r="GV7">
        <v>0.34150000000000003</v>
      </c>
      <c r="GW7" s="1">
        <f t="shared" si="14"/>
        <v>7.020828654084524E+16</v>
      </c>
      <c r="HF7" s="4">
        <v>8</v>
      </c>
      <c r="HG7">
        <v>0.30509999999999998</v>
      </c>
      <c r="HH7" s="1">
        <f t="shared" si="15"/>
        <v>6.2724884988614584E+16</v>
      </c>
      <c r="HQ7" s="4">
        <v>8</v>
      </c>
      <c r="HR7">
        <v>0.34770000000000001</v>
      </c>
      <c r="HS7" s="1">
        <f t="shared" si="16"/>
        <v>7.1482931860181232E+16</v>
      </c>
    </row>
    <row r="8" spans="1:228" x14ac:dyDescent="0.35">
      <c r="A8">
        <v>10.5</v>
      </c>
      <c r="B8">
        <v>0.81</v>
      </c>
      <c r="C8" s="1">
        <f t="shared" si="0"/>
        <v>1.6652624333260512E+17</v>
      </c>
      <c r="L8" s="2" t="s">
        <v>2</v>
      </c>
      <c r="Q8">
        <v>10.5</v>
      </c>
      <c r="R8">
        <v>0.83599999999999997</v>
      </c>
      <c r="S8" s="1">
        <f t="shared" si="17"/>
        <v>1.7187153015562698E+17</v>
      </c>
      <c r="AB8">
        <v>12.5</v>
      </c>
      <c r="AC8">
        <v>0.90800000000000003</v>
      </c>
      <c r="AD8" s="1">
        <f t="shared" si="18"/>
        <v>1.8667386289630298E+17</v>
      </c>
      <c r="AM8">
        <v>12.5</v>
      </c>
      <c r="AN8">
        <v>0.88500000000000001</v>
      </c>
      <c r="AO8" s="1">
        <f t="shared" si="19"/>
        <v>1.8194533993747597E+17</v>
      </c>
      <c r="AX8">
        <v>10.5</v>
      </c>
      <c r="AY8">
        <v>1.0349999999999999</v>
      </c>
      <c r="AZ8" s="5">
        <f t="shared" si="20"/>
        <v>2.127835331472176E+17</v>
      </c>
      <c r="BI8">
        <v>10.5</v>
      </c>
      <c r="BJ8">
        <v>9.1399999999999995E-2</v>
      </c>
      <c r="BK8" s="1">
        <f t="shared" si="1"/>
        <v>1.8790739062469264E+16</v>
      </c>
      <c r="BT8">
        <v>10</v>
      </c>
      <c r="BU8">
        <v>8.5400000000000004E-2</v>
      </c>
      <c r="BV8" s="1">
        <f t="shared" si="2"/>
        <v>1.75572113340796E+16</v>
      </c>
      <c r="CE8">
        <v>10</v>
      </c>
      <c r="CF8">
        <v>0.68799999999999994</v>
      </c>
      <c r="CG8" s="1">
        <f t="shared" si="3"/>
        <v>1.4144451285534851E+17</v>
      </c>
      <c r="CO8" s="3">
        <v>10</v>
      </c>
      <c r="CP8">
        <v>0.72299999999999998</v>
      </c>
      <c r="CQ8" s="1">
        <f t="shared" si="4"/>
        <v>1.4864009127095491E+17</v>
      </c>
      <c r="CZ8" s="4">
        <v>10</v>
      </c>
      <c r="DA8">
        <v>0.72499999999999998</v>
      </c>
      <c r="DB8" s="1">
        <f t="shared" si="5"/>
        <v>1.4905126718041814E+17</v>
      </c>
      <c r="DK8" s="4">
        <v>10</v>
      </c>
      <c r="DL8">
        <v>0.65800000000000003</v>
      </c>
      <c r="DM8" s="1">
        <f t="shared" si="6"/>
        <v>1.3527687421340021E+17</v>
      </c>
      <c r="DV8" s="4">
        <v>10</v>
      </c>
      <c r="DW8">
        <v>0.53300000000000003</v>
      </c>
      <c r="DX8" s="1">
        <f t="shared" si="7"/>
        <v>1.0957837987194878E+17</v>
      </c>
      <c r="EG8" s="4">
        <v>10</v>
      </c>
      <c r="EH8">
        <v>0.49399999999999999</v>
      </c>
      <c r="EI8" s="1">
        <f t="shared" si="8"/>
        <v>1.0156044963741595E+17</v>
      </c>
      <c r="ER8" s="4">
        <v>10</v>
      </c>
      <c r="ES8">
        <v>0.49399999999999999</v>
      </c>
      <c r="ET8" s="1">
        <f t="shared" si="9"/>
        <v>1.0156044963741595E+17</v>
      </c>
      <c r="FC8" s="4">
        <v>10</v>
      </c>
      <c r="FD8">
        <v>0.39119999999999999</v>
      </c>
      <c r="FE8" s="1">
        <f t="shared" si="10"/>
        <v>8.042600789100632E+16</v>
      </c>
      <c r="FN8" s="4">
        <v>10</v>
      </c>
      <c r="FO8">
        <v>0.39600000000000002</v>
      </c>
      <c r="FP8" s="1">
        <f t="shared" si="11"/>
        <v>8.1412830073718048E+16</v>
      </c>
      <c r="FY8" s="4">
        <v>10</v>
      </c>
      <c r="FZ8">
        <v>0.42899999999999999</v>
      </c>
      <c r="GA8" s="1">
        <f t="shared" si="12"/>
        <v>8.8197232579861216E+16</v>
      </c>
      <c r="GJ8" s="4">
        <v>10</v>
      </c>
      <c r="GK8">
        <v>0.3256</v>
      </c>
      <c r="GL8" s="1">
        <f t="shared" si="13"/>
        <v>6.6939438060612616E+16</v>
      </c>
      <c r="GU8" s="4">
        <v>10</v>
      </c>
      <c r="GV8">
        <v>0.34029999999999999</v>
      </c>
      <c r="GW8" s="1">
        <f t="shared" si="14"/>
        <v>6.9961580995167304E+16</v>
      </c>
      <c r="HF8" s="4">
        <v>10</v>
      </c>
      <c r="HG8">
        <v>0.30330000000000001</v>
      </c>
      <c r="HH8" s="1">
        <f t="shared" si="15"/>
        <v>6.2354826670097688E+16</v>
      </c>
      <c r="HQ8" s="4">
        <v>10</v>
      </c>
      <c r="HR8">
        <v>0.34379999999999999</v>
      </c>
      <c r="HS8" s="1">
        <f t="shared" si="16"/>
        <v>7.0681138836727944E+16</v>
      </c>
    </row>
    <row r="9" spans="1:228" x14ac:dyDescent="0.35">
      <c r="A9">
        <v>12.5</v>
      </c>
      <c r="B9">
        <v>0.80800000000000005</v>
      </c>
      <c r="C9" s="1">
        <f t="shared" si="0"/>
        <v>1.6611506742314189E+17</v>
      </c>
      <c r="L9" t="s">
        <v>5</v>
      </c>
      <c r="M9" s="1">
        <v>-133000000000000</v>
      </c>
      <c r="Q9">
        <v>12.5</v>
      </c>
      <c r="R9">
        <v>0.83899999999999997</v>
      </c>
      <c r="S9" s="1">
        <f t="shared" si="17"/>
        <v>1.7248829401982182E+17</v>
      </c>
      <c r="AB9">
        <v>14.5</v>
      </c>
      <c r="AC9">
        <v>0.90700000000000003</v>
      </c>
      <c r="AD9" s="1">
        <f t="shared" si="18"/>
        <v>1.8646827494157139E+17</v>
      </c>
      <c r="AM9">
        <v>14.5</v>
      </c>
      <c r="AN9" s="4">
        <v>0.88400000000000001</v>
      </c>
      <c r="AO9" s="1">
        <f t="shared" si="19"/>
        <v>1.8173975198274432E+17</v>
      </c>
      <c r="AX9">
        <v>12.5</v>
      </c>
      <c r="AY9">
        <v>1.0309999999999999</v>
      </c>
      <c r="AZ9" s="5">
        <f t="shared" si="20"/>
        <v>2.1196118132829117E+17</v>
      </c>
      <c r="BI9">
        <v>12.5</v>
      </c>
      <c r="BJ9">
        <v>8.3299999999999999E-2</v>
      </c>
      <c r="BK9" s="1">
        <f t="shared" si="1"/>
        <v>1.7125476629143216E+16</v>
      </c>
      <c r="BT9">
        <v>12</v>
      </c>
      <c r="BU9">
        <v>7.4399999999999994E-2</v>
      </c>
      <c r="BV9" s="1">
        <f t="shared" si="2"/>
        <v>1.5295743832031874E+16</v>
      </c>
      <c r="CE9">
        <v>12</v>
      </c>
      <c r="CF9">
        <v>0.68700000000000006</v>
      </c>
      <c r="CG9" s="1">
        <f t="shared" si="3"/>
        <v>1.4123892490061691E+17</v>
      </c>
      <c r="CO9" s="3">
        <v>12</v>
      </c>
      <c r="CP9">
        <v>0.72499999999999998</v>
      </c>
      <c r="CQ9" s="1">
        <f t="shared" si="4"/>
        <v>1.4905126718041814E+17</v>
      </c>
      <c r="CZ9" s="4">
        <v>12</v>
      </c>
      <c r="DA9">
        <v>0.72099999999999997</v>
      </c>
      <c r="DB9" s="1">
        <f t="shared" si="5"/>
        <v>1.4822891536149168E+17</v>
      </c>
      <c r="DK9" s="4">
        <v>12</v>
      </c>
      <c r="DL9">
        <v>0.65700000000000003</v>
      </c>
      <c r="DM9" s="1">
        <f t="shared" si="6"/>
        <v>1.3507128625866859E+17</v>
      </c>
      <c r="DV9" s="4">
        <v>12</v>
      </c>
      <c r="DW9">
        <v>0.53</v>
      </c>
      <c r="DX9" s="1">
        <f t="shared" si="7"/>
        <v>1.0896161600775397E+17</v>
      </c>
      <c r="EG9" s="4">
        <v>12</v>
      </c>
      <c r="EH9">
        <v>0.49399999999999999</v>
      </c>
      <c r="EI9" s="1">
        <f t="shared" si="8"/>
        <v>1.0156044963741595E+17</v>
      </c>
      <c r="ER9" s="4">
        <v>12</v>
      </c>
      <c r="ES9">
        <v>0.49299999999999999</v>
      </c>
      <c r="ET9" s="1">
        <f t="shared" si="9"/>
        <v>1.0135486168268434E+17</v>
      </c>
      <c r="FC9" s="4">
        <v>12</v>
      </c>
      <c r="FD9">
        <v>0.39319999999999999</v>
      </c>
      <c r="FE9" s="1">
        <f t="shared" si="10"/>
        <v>8.0837183800469536E+16</v>
      </c>
      <c r="FN9" s="4">
        <v>12</v>
      </c>
      <c r="FO9">
        <v>0.39500000000000002</v>
      </c>
      <c r="FP9" s="1">
        <f t="shared" si="11"/>
        <v>8.1207242118986432E+16</v>
      </c>
      <c r="FY9" s="4">
        <v>12</v>
      </c>
      <c r="FZ9">
        <v>0.42599999999999999</v>
      </c>
      <c r="GA9" s="1">
        <f t="shared" si="12"/>
        <v>8.7580468715666384E+16</v>
      </c>
      <c r="GJ9" s="4">
        <v>12</v>
      </c>
      <c r="GK9">
        <v>0.3251</v>
      </c>
      <c r="GL9" s="1">
        <f t="shared" si="13"/>
        <v>6.6836644083246808E+16</v>
      </c>
      <c r="GU9" s="4">
        <v>12</v>
      </c>
      <c r="GV9">
        <v>0.33950000000000002</v>
      </c>
      <c r="GW9" s="1">
        <f t="shared" si="14"/>
        <v>6.9797110631382024E+16</v>
      </c>
      <c r="HF9" s="4">
        <v>12</v>
      </c>
      <c r="HG9">
        <v>0.3</v>
      </c>
      <c r="HH9" s="1">
        <f t="shared" si="15"/>
        <v>6.1676386419483368E+16</v>
      </c>
      <c r="HQ9" s="4">
        <v>12</v>
      </c>
      <c r="HR9">
        <v>0.34160000000000001</v>
      </c>
      <c r="HS9" s="1">
        <f t="shared" si="16"/>
        <v>7.02288453363184E+16</v>
      </c>
    </row>
    <row r="10" spans="1:228" x14ac:dyDescent="0.35">
      <c r="A10">
        <v>14.5</v>
      </c>
      <c r="B10">
        <v>0.80700000000000005</v>
      </c>
      <c r="C10" s="1">
        <f t="shared" si="0"/>
        <v>1.6590947946841027E+17</v>
      </c>
      <c r="L10" t="s">
        <v>8</v>
      </c>
      <c r="M10" s="1">
        <f>(M9*M$3)/O$3</f>
        <v>60090361445783.141</v>
      </c>
      <c r="Q10">
        <v>14.5</v>
      </c>
      <c r="R10">
        <v>0.84</v>
      </c>
      <c r="S10" s="1">
        <f t="shared" si="17"/>
        <v>1.7269388197455344E+17</v>
      </c>
      <c r="AB10">
        <v>16.5</v>
      </c>
      <c r="AC10">
        <v>0.90600000000000003</v>
      </c>
      <c r="AD10" s="1">
        <f t="shared" si="18"/>
        <v>1.8626268698683978E+17</v>
      </c>
      <c r="AM10">
        <v>16.5</v>
      </c>
      <c r="AN10" s="4">
        <v>0.88600000000000001</v>
      </c>
      <c r="AO10" s="1">
        <f t="shared" si="19"/>
        <v>1.8215092789220755E+17</v>
      </c>
      <c r="AX10">
        <v>14.5</v>
      </c>
      <c r="AY10" s="4">
        <v>1.028</v>
      </c>
      <c r="AZ10" s="5">
        <f t="shared" si="20"/>
        <v>2.1134441746409635E+17</v>
      </c>
      <c r="BI10">
        <v>14.5</v>
      </c>
      <c r="BJ10">
        <v>8.2400000000000001E-2</v>
      </c>
      <c r="BK10" s="1">
        <f t="shared" si="1"/>
        <v>1.6940447469884766E+16</v>
      </c>
      <c r="BT10">
        <v>14</v>
      </c>
      <c r="BU10">
        <v>6.2100000000000002E-2</v>
      </c>
      <c r="BV10" s="1">
        <f t="shared" si="2"/>
        <v>1.2767011988833058E+16</v>
      </c>
      <c r="CE10">
        <v>14</v>
      </c>
      <c r="CF10">
        <v>0.68600000000000005</v>
      </c>
      <c r="CG10" s="1">
        <f t="shared" si="3"/>
        <v>1.4103333694588533E+17</v>
      </c>
      <c r="CO10" s="3">
        <v>14</v>
      </c>
      <c r="CP10">
        <v>0.71799999999999997</v>
      </c>
      <c r="CQ10" s="1">
        <f t="shared" si="4"/>
        <v>1.4761215149729686E+17</v>
      </c>
      <c r="CZ10" s="4">
        <v>14</v>
      </c>
      <c r="DA10">
        <v>0.72199999999999998</v>
      </c>
      <c r="DB10" s="1">
        <f t="shared" si="5"/>
        <v>1.484345033162233E+17</v>
      </c>
      <c r="DK10" s="4">
        <v>14</v>
      </c>
      <c r="DL10">
        <v>0.65900000000000003</v>
      </c>
      <c r="DM10" s="1">
        <f t="shared" si="6"/>
        <v>1.3548246216813182E+17</v>
      </c>
      <c r="DV10" s="4">
        <v>14</v>
      </c>
      <c r="DW10">
        <v>0.52900000000000003</v>
      </c>
      <c r="DX10" s="1">
        <f t="shared" si="7"/>
        <v>1.0875602805302235E+17</v>
      </c>
      <c r="EG10" s="4">
        <v>14</v>
      </c>
      <c r="EH10">
        <v>0.49399999999999999</v>
      </c>
      <c r="EI10" s="1">
        <f t="shared" si="8"/>
        <v>1.0156044963741595E+17</v>
      </c>
      <c r="ER10" s="4">
        <v>14</v>
      </c>
      <c r="ES10">
        <v>0.49099999999999999</v>
      </c>
      <c r="ET10" s="1">
        <f t="shared" si="9"/>
        <v>1.009436857732211E+17</v>
      </c>
      <c r="FC10" s="4">
        <v>14</v>
      </c>
      <c r="FD10">
        <v>0.38950000000000001</v>
      </c>
      <c r="FE10" s="1">
        <f t="shared" si="10"/>
        <v>8.0076508367962576E+16</v>
      </c>
      <c r="FN10" s="4">
        <v>14</v>
      </c>
      <c r="FO10">
        <v>0.39300000000000002</v>
      </c>
      <c r="FP10" s="1">
        <f t="shared" si="11"/>
        <v>8.0796066209523216E+16</v>
      </c>
      <c r="FY10" s="4">
        <v>14</v>
      </c>
      <c r="FZ10">
        <v>0.42099999999999999</v>
      </c>
      <c r="GA10" s="1">
        <f t="shared" si="12"/>
        <v>8.655252894200832E+16</v>
      </c>
      <c r="GJ10" s="4">
        <v>14</v>
      </c>
      <c r="GK10">
        <v>0.32379999999999998</v>
      </c>
      <c r="GL10" s="1">
        <f t="shared" si="13"/>
        <v>6.6569379742095712E+16</v>
      </c>
      <c r="GU10" s="4">
        <v>14</v>
      </c>
      <c r="GV10">
        <v>0.33760000000000001</v>
      </c>
      <c r="GW10" s="1">
        <f t="shared" si="14"/>
        <v>6.9406493517391952E+16</v>
      </c>
      <c r="HF10" s="4">
        <v>14</v>
      </c>
      <c r="HG10">
        <v>0.29859999999999998</v>
      </c>
      <c r="HH10" s="1">
        <f t="shared" si="15"/>
        <v>6.1388563282859112E+16</v>
      </c>
      <c r="HQ10" s="4">
        <v>14</v>
      </c>
      <c r="HR10">
        <v>0.34100000000000003</v>
      </c>
      <c r="HS10" s="1">
        <f t="shared" si="16"/>
        <v>7.0105492563479432E+16</v>
      </c>
    </row>
    <row r="11" spans="1:228" x14ac:dyDescent="0.35">
      <c r="A11">
        <v>16.5</v>
      </c>
      <c r="B11">
        <v>0.80300000000000005</v>
      </c>
      <c r="C11" s="1">
        <f t="shared" si="0"/>
        <v>1.6508712764948384E+17</v>
      </c>
      <c r="L11" s="2" t="s">
        <v>13</v>
      </c>
      <c r="Q11">
        <v>16.5</v>
      </c>
      <c r="R11">
        <v>0.83799999999999997</v>
      </c>
      <c r="S11" s="1">
        <f t="shared" si="17"/>
        <v>1.7228270606509021E+17</v>
      </c>
      <c r="AB11">
        <v>18.5</v>
      </c>
      <c r="AC11">
        <v>0.90700000000000003</v>
      </c>
      <c r="AD11" s="1">
        <f t="shared" si="18"/>
        <v>1.8646827494157139E+17</v>
      </c>
      <c r="AM11">
        <v>18.5</v>
      </c>
      <c r="AN11" s="4">
        <v>0.88300000000000001</v>
      </c>
      <c r="AO11" s="1">
        <f t="shared" si="19"/>
        <v>1.8153416402801274E+17</v>
      </c>
      <c r="AX11">
        <v>16.5</v>
      </c>
      <c r="AY11" s="4">
        <v>1.026</v>
      </c>
      <c r="AZ11" s="5">
        <f t="shared" si="20"/>
        <v>2.1093324155463312E+17</v>
      </c>
      <c r="BI11">
        <v>16.5</v>
      </c>
      <c r="BK11" s="1"/>
      <c r="BT11" s="3">
        <v>16</v>
      </c>
      <c r="BU11" s="3">
        <v>5.3699999999999998E-2</v>
      </c>
      <c r="BV11" s="7">
        <f t="shared" si="2"/>
        <v>1.1040073169087522E+16</v>
      </c>
      <c r="CE11">
        <v>16</v>
      </c>
      <c r="CF11">
        <v>0.68700000000000006</v>
      </c>
      <c r="CG11" s="1">
        <f t="shared" si="3"/>
        <v>1.4123892490061691E+17</v>
      </c>
      <c r="CO11" s="3">
        <v>16</v>
      </c>
      <c r="CP11">
        <v>0.71499999999999997</v>
      </c>
      <c r="CQ11" s="1">
        <f t="shared" si="4"/>
        <v>1.4699538763310202E+17</v>
      </c>
      <c r="CZ11" s="4">
        <v>16</v>
      </c>
      <c r="DA11">
        <v>0.71699999999999997</v>
      </c>
      <c r="DB11" s="1">
        <f t="shared" si="5"/>
        <v>1.4740656354256525E+17</v>
      </c>
      <c r="DK11" s="4">
        <v>16</v>
      </c>
      <c r="DL11">
        <v>0.65700000000000003</v>
      </c>
      <c r="DM11" s="1">
        <f t="shared" si="6"/>
        <v>1.3507128625866859E+17</v>
      </c>
      <c r="DV11" s="4">
        <v>16</v>
      </c>
      <c r="DW11">
        <v>0.52800000000000002</v>
      </c>
      <c r="DX11" s="1">
        <f t="shared" si="7"/>
        <v>1.0855044009829074E+17</v>
      </c>
      <c r="EG11" s="4">
        <v>16</v>
      </c>
      <c r="EH11">
        <v>0.49199999999999999</v>
      </c>
      <c r="EI11" s="1">
        <f t="shared" si="8"/>
        <v>1.0114927372795272E+17</v>
      </c>
      <c r="ER11" s="4">
        <v>16</v>
      </c>
      <c r="ES11">
        <v>0.48899999999999999</v>
      </c>
      <c r="ET11" s="1">
        <f t="shared" si="9"/>
        <v>1.005325098637579E+17</v>
      </c>
      <c r="FC11" s="4">
        <v>16</v>
      </c>
      <c r="FD11">
        <v>0.38990000000000002</v>
      </c>
      <c r="FE11" s="1">
        <f t="shared" si="10"/>
        <v>8.0158743549855216E+16</v>
      </c>
      <c r="FN11" s="4">
        <v>16</v>
      </c>
      <c r="FO11">
        <v>0.39500000000000002</v>
      </c>
      <c r="FP11" s="1">
        <f t="shared" si="11"/>
        <v>8.1207242118986432E+16</v>
      </c>
      <c r="FY11" s="4">
        <v>16</v>
      </c>
      <c r="FZ11">
        <v>0.41899999999999998</v>
      </c>
      <c r="GA11" s="1">
        <f t="shared" si="12"/>
        <v>8.6141353032545104E+16</v>
      </c>
      <c r="GJ11" s="4">
        <v>16</v>
      </c>
      <c r="GK11">
        <v>0.31690000000000002</v>
      </c>
      <c r="GL11" s="1">
        <f t="shared" si="13"/>
        <v>6.51508228544476E+16</v>
      </c>
      <c r="GU11" s="4">
        <v>16</v>
      </c>
      <c r="GV11">
        <v>0.33400000000000002</v>
      </c>
      <c r="GW11" s="1">
        <f t="shared" si="14"/>
        <v>6.8666376880358152E+16</v>
      </c>
      <c r="HF11" s="4">
        <v>16</v>
      </c>
      <c r="HG11">
        <v>0.29599999999999999</v>
      </c>
      <c r="HH11" s="1">
        <f t="shared" si="15"/>
        <v>6.085403460055692E+16</v>
      </c>
      <c r="HQ11" s="4">
        <v>16</v>
      </c>
      <c r="HR11">
        <v>0.33900000000000002</v>
      </c>
      <c r="HS11" s="1">
        <f t="shared" si="16"/>
        <v>6.9694316654016216E+16</v>
      </c>
    </row>
    <row r="12" spans="1:228" x14ac:dyDescent="0.35">
      <c r="A12">
        <v>18.5</v>
      </c>
      <c r="B12">
        <v>0.80400000000000005</v>
      </c>
      <c r="C12" s="1">
        <f t="shared" si="0"/>
        <v>1.6529271560421542E+17</v>
      </c>
      <c r="L12" t="s">
        <v>5</v>
      </c>
      <c r="M12" s="1">
        <v>-59800000000000</v>
      </c>
      <c r="Q12">
        <v>18.5</v>
      </c>
      <c r="R12">
        <v>0.83899999999999997</v>
      </c>
      <c r="S12" s="1">
        <f t="shared" si="17"/>
        <v>1.7248829401982182E+17</v>
      </c>
      <c r="AB12">
        <v>20.5</v>
      </c>
      <c r="AC12" s="3">
        <v>0.90400000000000003</v>
      </c>
      <c r="AD12" s="1">
        <f t="shared" si="18"/>
        <v>1.8585151107737658E+17</v>
      </c>
      <c r="AM12">
        <v>20.5</v>
      </c>
      <c r="AN12" s="4">
        <v>0.88300000000000001</v>
      </c>
      <c r="AO12" s="1">
        <f t="shared" si="19"/>
        <v>1.8153416402801274E+17</v>
      </c>
      <c r="AX12">
        <v>18.5</v>
      </c>
      <c r="AY12" s="4">
        <v>1.0249999999999999</v>
      </c>
      <c r="AZ12" s="5">
        <f t="shared" si="20"/>
        <v>2.107276535999015E+17</v>
      </c>
      <c r="BI12">
        <v>18.5</v>
      </c>
      <c r="BJ12">
        <v>7.9600000000000004E-2</v>
      </c>
      <c r="BK12" s="1">
        <f t="shared" si="1"/>
        <v>1.6364801196636256E+16</v>
      </c>
      <c r="BT12">
        <v>18</v>
      </c>
      <c r="BU12">
        <v>4.19E-2</v>
      </c>
      <c r="BV12" s="1">
        <f t="shared" ref="BV12:BV16" si="21">(LN(10)*BU12)/BW$1</f>
        <v>8614135303254510</v>
      </c>
      <c r="CE12">
        <v>18</v>
      </c>
      <c r="CF12">
        <v>0.68400000000000005</v>
      </c>
      <c r="CG12" s="1">
        <f t="shared" si="3"/>
        <v>1.406221610364221E+17</v>
      </c>
      <c r="CO12" s="3">
        <v>18</v>
      </c>
      <c r="CP12">
        <v>0.71799999999999997</v>
      </c>
      <c r="CQ12" s="1">
        <f t="shared" si="4"/>
        <v>1.4761215149729686E+17</v>
      </c>
      <c r="CZ12" s="4">
        <v>18</v>
      </c>
      <c r="DA12">
        <v>0.71499999999999997</v>
      </c>
      <c r="DB12" s="1">
        <f t="shared" si="5"/>
        <v>1.4699538763310202E+17</v>
      </c>
      <c r="DK12" s="4">
        <v>18</v>
      </c>
      <c r="DL12">
        <v>0.65700000000000003</v>
      </c>
      <c r="DM12" s="1">
        <f t="shared" si="6"/>
        <v>1.3507128625866859E+17</v>
      </c>
      <c r="DV12" s="4">
        <v>18</v>
      </c>
      <c r="DW12">
        <v>0.52700000000000002</v>
      </c>
      <c r="DX12" s="1">
        <f t="shared" si="7"/>
        <v>1.0834485214355912E+17</v>
      </c>
      <c r="EG12" s="4">
        <v>18</v>
      </c>
      <c r="EH12">
        <v>0.48799999999999999</v>
      </c>
      <c r="EI12" s="1">
        <f t="shared" si="8"/>
        <v>1.0032692190902629E+17</v>
      </c>
      <c r="ER12" s="4">
        <v>18</v>
      </c>
      <c r="ES12">
        <v>0.48399999999999999</v>
      </c>
      <c r="ET12" s="1">
        <f t="shared" si="9"/>
        <v>9.9504570090099824E+16</v>
      </c>
      <c r="FC12" s="4">
        <v>18</v>
      </c>
      <c r="FD12">
        <v>0.3881</v>
      </c>
      <c r="FE12" s="1">
        <f t="shared" si="10"/>
        <v>7.978868523133832E+16</v>
      </c>
      <c r="FN12" s="4">
        <v>18</v>
      </c>
      <c r="FO12">
        <v>0.39300000000000002</v>
      </c>
      <c r="FP12" s="1">
        <f t="shared" si="11"/>
        <v>8.0796066209523216E+16</v>
      </c>
      <c r="FY12" s="4">
        <v>18</v>
      </c>
      <c r="FZ12">
        <v>0.41699999999999998</v>
      </c>
      <c r="GA12" s="1">
        <f t="shared" si="12"/>
        <v>8.5730177123081888E+16</v>
      </c>
      <c r="GJ12" s="4">
        <v>18</v>
      </c>
      <c r="GK12">
        <v>0.31680000000000003</v>
      </c>
      <c r="GL12" s="1">
        <f t="shared" si="13"/>
        <v>6.5130264058974448E+16</v>
      </c>
      <c r="GU12" s="4">
        <v>18</v>
      </c>
      <c r="GV12">
        <v>0.33189999999999997</v>
      </c>
      <c r="GW12" s="1">
        <f t="shared" si="14"/>
        <v>6.823464217542176E+16</v>
      </c>
      <c r="HF12" s="4">
        <v>18</v>
      </c>
      <c r="HG12">
        <v>0.29509999999999997</v>
      </c>
      <c r="HH12" s="1">
        <f t="shared" si="15"/>
        <v>6.0669005441298472E+16</v>
      </c>
      <c r="HQ12" s="4">
        <v>18</v>
      </c>
      <c r="HR12">
        <v>0.33600000000000002</v>
      </c>
      <c r="HS12" s="1">
        <f t="shared" si="16"/>
        <v>6.9077552789821384E+16</v>
      </c>
    </row>
    <row r="13" spans="1:228" x14ac:dyDescent="0.35">
      <c r="A13">
        <v>20.5</v>
      </c>
      <c r="B13">
        <v>0.80500000000000005</v>
      </c>
      <c r="C13" s="1">
        <f t="shared" si="0"/>
        <v>1.6549830355894704E+17</v>
      </c>
      <c r="L13" t="s">
        <v>8</v>
      </c>
      <c r="M13" s="1">
        <f>(M12*M$3)/O$3</f>
        <v>27018072289156.625</v>
      </c>
      <c r="Q13">
        <v>20.5</v>
      </c>
      <c r="R13">
        <v>0.83599999999999997</v>
      </c>
      <c r="S13" s="1">
        <f t="shared" si="17"/>
        <v>1.7187153015562698E+17</v>
      </c>
      <c r="AB13">
        <v>22.5</v>
      </c>
      <c r="AC13" s="3">
        <v>0.90400000000000003</v>
      </c>
      <c r="AD13" s="1">
        <f t="shared" si="18"/>
        <v>1.8585151107737658E+17</v>
      </c>
      <c r="AM13">
        <v>22.5</v>
      </c>
      <c r="AN13" s="4">
        <v>0.88100000000000001</v>
      </c>
      <c r="AO13" s="1">
        <f>(LN(10)*AN13)/AP$1</f>
        <v>1.811229881185495E+17</v>
      </c>
      <c r="AX13">
        <v>20.5</v>
      </c>
      <c r="AY13" s="4">
        <v>1.022</v>
      </c>
      <c r="AZ13" s="5">
        <f t="shared" si="20"/>
        <v>2.1011088973570666E+17</v>
      </c>
      <c r="BI13">
        <v>20.5</v>
      </c>
      <c r="BJ13">
        <v>7.3099999999999998E-2</v>
      </c>
      <c r="BK13" s="1">
        <f t="shared" si="1"/>
        <v>1.502847949088078E+16</v>
      </c>
      <c r="BT13">
        <v>20</v>
      </c>
      <c r="BU13">
        <v>3.7900000000000003E-2</v>
      </c>
      <c r="BV13" s="1">
        <f t="shared" si="21"/>
        <v>7791783484328067</v>
      </c>
      <c r="CE13">
        <v>20</v>
      </c>
      <c r="CF13">
        <v>0.67900000000000005</v>
      </c>
      <c r="CG13" s="1">
        <f t="shared" si="3"/>
        <v>1.3959422126276405E+17</v>
      </c>
      <c r="CO13" s="3">
        <v>20</v>
      </c>
      <c r="CP13">
        <v>0.71799999999999997</v>
      </c>
      <c r="CQ13" s="1">
        <f t="shared" si="4"/>
        <v>1.4761215149729686E+17</v>
      </c>
      <c r="CZ13" s="4">
        <v>20</v>
      </c>
      <c r="DA13">
        <v>0.71699999999999997</v>
      </c>
      <c r="DB13" s="1">
        <f t="shared" si="5"/>
        <v>1.4740656354256525E+17</v>
      </c>
      <c r="DK13" s="4">
        <v>20</v>
      </c>
      <c r="DL13">
        <v>0.64700000000000002</v>
      </c>
      <c r="DM13" s="1">
        <f t="shared" si="6"/>
        <v>1.3301540671135246E+17</v>
      </c>
      <c r="DV13" s="4">
        <v>20</v>
      </c>
      <c r="DW13">
        <v>0.52600000000000002</v>
      </c>
      <c r="DX13" s="1">
        <f t="shared" si="7"/>
        <v>1.081392641888275E+17</v>
      </c>
      <c r="EG13" s="4">
        <v>20</v>
      </c>
      <c r="EH13">
        <v>0.48899999999999999</v>
      </c>
      <c r="EI13" s="1">
        <f t="shared" si="8"/>
        <v>1.005325098637579E+17</v>
      </c>
      <c r="ER13" s="4">
        <v>20</v>
      </c>
      <c r="ES13">
        <v>0.48399999999999999</v>
      </c>
      <c r="ET13" s="1">
        <f t="shared" si="9"/>
        <v>9.9504570090099824E+16</v>
      </c>
      <c r="FC13" s="4">
        <v>20</v>
      </c>
      <c r="FD13">
        <v>0.38469999999999999</v>
      </c>
      <c r="FE13" s="1">
        <f t="shared" si="10"/>
        <v>7.9089686185250832E+16</v>
      </c>
      <c r="FN13" s="4">
        <v>20</v>
      </c>
      <c r="FO13">
        <v>0.39</v>
      </c>
      <c r="FP13" s="1">
        <f t="shared" si="11"/>
        <v>8.0179302345328384E+16</v>
      </c>
      <c r="FY13" s="4">
        <v>20</v>
      </c>
      <c r="FZ13">
        <v>0.41299999999999998</v>
      </c>
      <c r="GA13" s="1">
        <f t="shared" si="12"/>
        <v>8.490782530415544E+16</v>
      </c>
      <c r="GJ13" s="4">
        <v>20</v>
      </c>
      <c r="GK13">
        <v>0.31769999999999998</v>
      </c>
      <c r="GL13" s="1">
        <f t="shared" si="13"/>
        <v>6.531529321823288E+16</v>
      </c>
      <c r="GU13" s="4">
        <v>20</v>
      </c>
      <c r="GV13">
        <v>0.32819999999999999</v>
      </c>
      <c r="GW13" s="1">
        <f t="shared" si="14"/>
        <v>6.74739667429148E+16</v>
      </c>
      <c r="HF13" s="4">
        <v>20</v>
      </c>
      <c r="HG13">
        <v>0.2949</v>
      </c>
      <c r="HH13" s="1">
        <f t="shared" si="15"/>
        <v>6.0627887850352144E+16</v>
      </c>
      <c r="HQ13" s="4">
        <v>20</v>
      </c>
      <c r="HR13">
        <v>0.3352</v>
      </c>
      <c r="HS13" s="1">
        <f t="shared" si="16"/>
        <v>6.891308242603608E+16</v>
      </c>
    </row>
    <row r="14" spans="1:228" x14ac:dyDescent="0.35">
      <c r="A14">
        <v>22.5</v>
      </c>
      <c r="B14">
        <v>0.80200000000000005</v>
      </c>
      <c r="C14" s="1">
        <f t="shared" si="0"/>
        <v>1.6488153969475222E+17</v>
      </c>
      <c r="L14" s="2" t="s">
        <v>15</v>
      </c>
      <c r="Q14">
        <v>22.5</v>
      </c>
      <c r="R14">
        <v>0.83599999999999997</v>
      </c>
      <c r="S14" s="1">
        <f t="shared" si="17"/>
        <v>1.7187153015562698E+17</v>
      </c>
      <c r="AB14">
        <v>24.5</v>
      </c>
      <c r="AC14" s="3">
        <v>0.90400000000000003</v>
      </c>
      <c r="AD14" s="1">
        <f t="shared" si="18"/>
        <v>1.8585151107737658E+17</v>
      </c>
      <c r="AM14">
        <v>24.5</v>
      </c>
      <c r="AN14" s="4">
        <v>0.88</v>
      </c>
      <c r="AO14" s="1">
        <f>(LN(10)*AN14)/AP$1</f>
        <v>1.8091740016381786E+17</v>
      </c>
      <c r="AX14">
        <v>22.5</v>
      </c>
      <c r="AY14" s="4">
        <v>1.0169999999999999</v>
      </c>
      <c r="AZ14" s="5">
        <f t="shared" si="20"/>
        <v>2.0908294996204861E+17</v>
      </c>
      <c r="BI14">
        <v>22.5</v>
      </c>
      <c r="BJ14">
        <v>7.2499999999999995E-2</v>
      </c>
      <c r="BK14" s="1">
        <f t="shared" si="1"/>
        <v>1.4905126718041814E+16</v>
      </c>
      <c r="BT14">
        <v>22</v>
      </c>
      <c r="BU14">
        <v>2.9000000000000001E-2</v>
      </c>
      <c r="BV14" s="1">
        <f t="shared" si="21"/>
        <v>5962050687216726</v>
      </c>
      <c r="CE14">
        <v>22</v>
      </c>
      <c r="CF14">
        <v>0.67200000000000004</v>
      </c>
      <c r="CG14" s="1">
        <f t="shared" si="3"/>
        <v>1.3815510557964277E+17</v>
      </c>
      <c r="CO14" s="3">
        <v>22</v>
      </c>
      <c r="CP14">
        <v>0.71899999999999997</v>
      </c>
      <c r="CQ14" s="1">
        <f t="shared" si="4"/>
        <v>1.4781773945202848E+17</v>
      </c>
      <c r="CZ14" s="4">
        <v>22</v>
      </c>
      <c r="DA14">
        <v>0.71799999999999997</v>
      </c>
      <c r="DB14" s="1">
        <f t="shared" si="5"/>
        <v>1.4761215149729686E+17</v>
      </c>
      <c r="DK14" s="4">
        <v>22</v>
      </c>
      <c r="DL14">
        <v>0.65</v>
      </c>
      <c r="DM14" s="1">
        <f t="shared" si="6"/>
        <v>1.3363217057554731E+17</v>
      </c>
      <c r="DV14" s="4">
        <v>22</v>
      </c>
      <c r="DW14">
        <v>0.52100000000000002</v>
      </c>
      <c r="DX14" s="1">
        <f t="shared" si="7"/>
        <v>1.0711132441516946E+17</v>
      </c>
      <c r="EG14" s="4">
        <v>22</v>
      </c>
      <c r="EH14">
        <v>0.48899999999999999</v>
      </c>
      <c r="EI14" s="1">
        <f t="shared" si="8"/>
        <v>1.005325098637579E+17</v>
      </c>
      <c r="ER14" s="4">
        <v>22</v>
      </c>
      <c r="ES14">
        <v>0.48199999999999998</v>
      </c>
      <c r="ET14" s="1">
        <f t="shared" si="9"/>
        <v>9.9093394180636624E+16</v>
      </c>
      <c r="FC14" s="4">
        <v>22</v>
      </c>
      <c r="FD14">
        <v>0.38240000000000002</v>
      </c>
      <c r="FE14" s="1">
        <f t="shared" si="10"/>
        <v>7.8616833889368144E+16</v>
      </c>
      <c r="FN14" s="4">
        <v>22</v>
      </c>
      <c r="FO14">
        <v>0.38500000000000001</v>
      </c>
      <c r="FP14" s="1">
        <f t="shared" si="11"/>
        <v>7.915136257167032E+16</v>
      </c>
      <c r="FY14" s="4">
        <v>22</v>
      </c>
      <c r="FZ14">
        <v>0.40899999999999997</v>
      </c>
      <c r="GA14" s="1">
        <f t="shared" si="12"/>
        <v>8.4085473485228992E+16</v>
      </c>
      <c r="GJ14" s="4">
        <v>22</v>
      </c>
      <c r="GK14">
        <v>0.314</v>
      </c>
      <c r="GL14" s="1">
        <f t="shared" si="13"/>
        <v>6.4554617785725928E+16</v>
      </c>
      <c r="GU14" s="4">
        <v>22</v>
      </c>
      <c r="GV14">
        <v>0.32779999999999998</v>
      </c>
      <c r="GW14" s="1">
        <f t="shared" si="14"/>
        <v>6.739173156102216E+16</v>
      </c>
      <c r="HF14" s="4">
        <v>22</v>
      </c>
      <c r="HG14">
        <v>0.29020000000000001</v>
      </c>
      <c r="HH14" s="1">
        <f t="shared" si="15"/>
        <v>5.9661624463113584E+16</v>
      </c>
      <c r="HQ14" s="4">
        <v>22</v>
      </c>
      <c r="HR14">
        <v>0.32979999999999998</v>
      </c>
      <c r="HS14" s="1">
        <f t="shared" si="16"/>
        <v>6.7802907470485384E+16</v>
      </c>
    </row>
    <row r="15" spans="1:228" x14ac:dyDescent="0.35">
      <c r="A15">
        <v>24.5</v>
      </c>
      <c r="B15">
        <v>0.80200000000000005</v>
      </c>
      <c r="C15" s="1">
        <f t="shared" si="0"/>
        <v>1.6488153969475222E+17</v>
      </c>
      <c r="L15" t="s">
        <v>5</v>
      </c>
      <c r="M15" s="1">
        <v>-195100000000000</v>
      </c>
      <c r="Q15">
        <v>26.5</v>
      </c>
      <c r="R15">
        <v>0.83299999999999996</v>
      </c>
      <c r="S15" s="1">
        <f t="shared" si="17"/>
        <v>1.7125476629143216E+17</v>
      </c>
      <c r="AB15">
        <v>26.5</v>
      </c>
      <c r="AC15" s="3">
        <v>0.90200000000000002</v>
      </c>
      <c r="AD15" s="1">
        <f t="shared" si="18"/>
        <v>1.8544033516791334E+17</v>
      </c>
      <c r="AM15">
        <v>26.5</v>
      </c>
      <c r="AN15" s="4">
        <v>0.88300000000000001</v>
      </c>
      <c r="AO15" s="1">
        <f t="shared" si="19"/>
        <v>1.8153416402801274E+17</v>
      </c>
      <c r="AX15">
        <v>24.5</v>
      </c>
      <c r="AY15" s="4">
        <v>1.0149999999999999</v>
      </c>
      <c r="AZ15" s="5">
        <f t="shared" si="20"/>
        <v>2.0867177405258538E+17</v>
      </c>
      <c r="BI15">
        <v>24.5</v>
      </c>
      <c r="BJ15">
        <v>6.8099999999999994E-2</v>
      </c>
      <c r="BK15" s="1">
        <f t="shared" si="1"/>
        <v>1.4000539717222724E+16</v>
      </c>
      <c r="BT15">
        <v>24</v>
      </c>
      <c r="BU15">
        <v>2.2499999999999999E-2</v>
      </c>
      <c r="BV15" s="1">
        <f t="shared" si="21"/>
        <v>4625728981461252</v>
      </c>
      <c r="CE15">
        <v>24</v>
      </c>
      <c r="CF15">
        <v>0.67</v>
      </c>
      <c r="CG15" s="1">
        <f t="shared" si="3"/>
        <v>1.3774392967017954E+17</v>
      </c>
      <c r="CO15" s="3">
        <v>24</v>
      </c>
      <c r="CP15">
        <v>0.71599999999999997</v>
      </c>
      <c r="CQ15" s="1">
        <f t="shared" si="4"/>
        <v>1.4720097558783363E+17</v>
      </c>
      <c r="CZ15" s="4">
        <v>24</v>
      </c>
      <c r="DA15">
        <v>0.71499999999999997</v>
      </c>
      <c r="DB15" s="1">
        <f t="shared" si="5"/>
        <v>1.4699538763310202E+17</v>
      </c>
      <c r="DK15" s="4">
        <v>24</v>
      </c>
      <c r="DL15">
        <v>0.64800000000000002</v>
      </c>
      <c r="DM15" s="1">
        <f t="shared" si="6"/>
        <v>1.3322099466608408E+17</v>
      </c>
      <c r="DV15" s="4">
        <v>24</v>
      </c>
      <c r="DW15">
        <v>0.52100000000000002</v>
      </c>
      <c r="DX15" s="1">
        <f t="shared" si="7"/>
        <v>1.0711132441516946E+17</v>
      </c>
      <c r="EG15" s="4">
        <v>24</v>
      </c>
      <c r="EH15">
        <v>0.48799999999999999</v>
      </c>
      <c r="EI15" s="1">
        <f t="shared" si="8"/>
        <v>1.0032692190902629E+17</v>
      </c>
      <c r="ER15" s="4">
        <v>24</v>
      </c>
      <c r="ES15">
        <v>0.47799999999999998</v>
      </c>
      <c r="ET15" s="1">
        <f t="shared" si="9"/>
        <v>9.827104236171016E+16</v>
      </c>
      <c r="FC15" s="4">
        <v>24</v>
      </c>
      <c r="FD15">
        <v>0.38279999999999997</v>
      </c>
      <c r="FE15" s="1">
        <f t="shared" si="10"/>
        <v>7.8699069071260768E+16</v>
      </c>
      <c r="FN15" s="4">
        <v>24</v>
      </c>
      <c r="FO15">
        <v>0.38200000000000001</v>
      </c>
      <c r="FP15" s="1">
        <f t="shared" si="11"/>
        <v>7.8534598707475488E+16</v>
      </c>
      <c r="FY15" s="4">
        <v>24</v>
      </c>
      <c r="FZ15">
        <v>0.40600000000000003</v>
      </c>
      <c r="GA15" s="1">
        <f t="shared" si="12"/>
        <v>8.346870962103416E+16</v>
      </c>
      <c r="GJ15" s="4">
        <v>24</v>
      </c>
      <c r="GK15">
        <v>0.3125</v>
      </c>
      <c r="GL15" s="1">
        <f t="shared" si="13"/>
        <v>6.4246235853628512E+16</v>
      </c>
      <c r="GU15" s="4">
        <v>24</v>
      </c>
      <c r="GV15">
        <v>0.32569999999999999</v>
      </c>
      <c r="GW15" s="1">
        <f t="shared" si="14"/>
        <v>6.6959996856085776E+16</v>
      </c>
      <c r="HF15" s="4">
        <v>24</v>
      </c>
      <c r="HG15">
        <v>0.28820000000000001</v>
      </c>
      <c r="HH15" s="1">
        <f t="shared" si="15"/>
        <v>5.925044855365036E+16</v>
      </c>
      <c r="HQ15" s="4">
        <v>24</v>
      </c>
      <c r="HR15">
        <v>0.33069999999999999</v>
      </c>
      <c r="HS15" s="1">
        <f t="shared" si="16"/>
        <v>6.7987936629743832E+16</v>
      </c>
    </row>
    <row r="16" spans="1:228" x14ac:dyDescent="0.35">
      <c r="A16">
        <v>26.5</v>
      </c>
      <c r="B16">
        <v>0.80200000000000005</v>
      </c>
      <c r="C16" s="1">
        <f t="shared" si="0"/>
        <v>1.6488153969475222E+17</v>
      </c>
      <c r="L16" t="s">
        <v>8</v>
      </c>
      <c r="M16" s="1">
        <f>(M15*M$3)/O$3</f>
        <v>88147590361445.781</v>
      </c>
      <c r="Q16">
        <v>28.5</v>
      </c>
      <c r="R16">
        <v>0.83799999999999997</v>
      </c>
      <c r="S16" s="1">
        <f t="shared" si="17"/>
        <v>1.7228270606509021E+17</v>
      </c>
      <c r="AB16">
        <v>28.5</v>
      </c>
      <c r="AC16" s="3">
        <v>0.9</v>
      </c>
      <c r="AD16" s="1">
        <f t="shared" si="18"/>
        <v>1.8502915925845011E+17</v>
      </c>
      <c r="AM16">
        <v>28.5</v>
      </c>
      <c r="AN16" s="4">
        <v>0.879</v>
      </c>
      <c r="AO16" s="1">
        <f t="shared" si="19"/>
        <v>1.8071181220908627E+17</v>
      </c>
      <c r="AX16">
        <v>26.5</v>
      </c>
      <c r="AY16" s="4">
        <v>1.0169999999999999</v>
      </c>
      <c r="AZ16" s="5">
        <f t="shared" si="20"/>
        <v>2.0908294996204861E+17</v>
      </c>
      <c r="BI16">
        <v>26.5</v>
      </c>
      <c r="BJ16">
        <v>6.9900000000000004E-2</v>
      </c>
      <c r="BK16" s="1">
        <f t="shared" si="1"/>
        <v>1.4370598035739624E+16</v>
      </c>
      <c r="BT16">
        <v>26</v>
      </c>
      <c r="BU16">
        <v>2.0500000000000001E-2</v>
      </c>
      <c r="BV16" s="1">
        <f t="shared" si="21"/>
        <v>4214553071998030.5</v>
      </c>
      <c r="CE16">
        <v>26</v>
      </c>
      <c r="CF16">
        <v>0.66800000000000004</v>
      </c>
      <c r="CG16" s="1">
        <f t="shared" si="3"/>
        <v>1.373327537607163E+17</v>
      </c>
      <c r="CO16" s="3">
        <v>26</v>
      </c>
      <c r="CP16">
        <v>0.71599999999999997</v>
      </c>
      <c r="CQ16" s="1">
        <f t="shared" si="4"/>
        <v>1.4720097558783363E+17</v>
      </c>
      <c r="CZ16" s="4">
        <v>26</v>
      </c>
      <c r="DA16">
        <v>0.71199999999999997</v>
      </c>
      <c r="DB16" s="1">
        <f t="shared" si="5"/>
        <v>1.463786237689072E+17</v>
      </c>
      <c r="DK16" s="4">
        <v>26</v>
      </c>
      <c r="DL16">
        <v>0.64500000000000002</v>
      </c>
      <c r="DM16" s="1">
        <f t="shared" si="6"/>
        <v>1.3260423080188926E+17</v>
      </c>
      <c r="DV16" s="4">
        <v>26</v>
      </c>
      <c r="DW16">
        <v>0.52100000000000002</v>
      </c>
      <c r="DX16" s="1">
        <f t="shared" si="7"/>
        <v>1.0711132441516946E+17</v>
      </c>
      <c r="EG16" s="4">
        <v>26</v>
      </c>
      <c r="EH16">
        <v>0.48399999999999999</v>
      </c>
      <c r="EI16" s="1">
        <f t="shared" si="8"/>
        <v>9.9504570090099824E+16</v>
      </c>
      <c r="ER16" s="4">
        <v>26</v>
      </c>
      <c r="ES16">
        <v>0.47399999999999998</v>
      </c>
      <c r="ET16" s="1">
        <f t="shared" si="9"/>
        <v>9.7448690542783728E+16</v>
      </c>
      <c r="FC16" s="4">
        <v>26</v>
      </c>
      <c r="FD16">
        <v>0.37790000000000001</v>
      </c>
      <c r="FE16" s="1">
        <f t="shared" si="10"/>
        <v>7.7691688093075888E+16</v>
      </c>
      <c r="FN16" s="4">
        <v>26</v>
      </c>
      <c r="FO16">
        <v>0.38300000000000001</v>
      </c>
      <c r="FP16" s="1">
        <f t="shared" si="11"/>
        <v>7.8740186662207104E+16</v>
      </c>
      <c r="FY16" s="4">
        <v>26</v>
      </c>
      <c r="FZ16">
        <v>0.40500000000000003</v>
      </c>
      <c r="GA16" s="1">
        <f t="shared" si="12"/>
        <v>8.326312166630256E+16</v>
      </c>
      <c r="GJ16" s="4">
        <v>26</v>
      </c>
      <c r="GK16">
        <v>0.30919999999999997</v>
      </c>
      <c r="GL16" s="1">
        <f t="shared" si="13"/>
        <v>6.3567795603014192E+16</v>
      </c>
      <c r="GU16" s="4">
        <v>26</v>
      </c>
      <c r="GV16">
        <v>0.32369999999999999</v>
      </c>
      <c r="GW16" s="1">
        <f t="shared" si="14"/>
        <v>6.654882094662256E+16</v>
      </c>
      <c r="HF16" s="4">
        <v>26</v>
      </c>
      <c r="HG16">
        <v>0.28699999999999998</v>
      </c>
      <c r="HH16" s="1">
        <f t="shared" si="15"/>
        <v>5.9003743007972416E+16</v>
      </c>
      <c r="HQ16" s="4">
        <v>26</v>
      </c>
      <c r="HR16">
        <v>0.32719999999999999</v>
      </c>
      <c r="HS16" s="1">
        <f t="shared" si="16"/>
        <v>6.72683787881832E+16</v>
      </c>
    </row>
    <row r="17" spans="1:227" x14ac:dyDescent="0.35">
      <c r="A17">
        <v>28.5</v>
      </c>
      <c r="B17">
        <v>0.79900000000000004</v>
      </c>
      <c r="C17" s="1">
        <f>(LN(10)*B17)/D$1</f>
        <v>1.6426477583055738E+17</v>
      </c>
      <c r="L17" s="2" t="s">
        <v>26</v>
      </c>
      <c r="Q17">
        <v>30.5</v>
      </c>
      <c r="R17">
        <v>0.83099999999999996</v>
      </c>
      <c r="S17" s="1">
        <f t="shared" si="17"/>
        <v>1.7084359038196893E+17</v>
      </c>
      <c r="AB17">
        <v>30.5</v>
      </c>
      <c r="AC17" s="3">
        <v>0.90100000000000002</v>
      </c>
      <c r="AD17" s="1">
        <f t="shared" si="18"/>
        <v>1.852347472131817E+17</v>
      </c>
      <c r="AM17">
        <v>32.5</v>
      </c>
      <c r="AN17" s="4">
        <v>0.88300000000000001</v>
      </c>
      <c r="AO17" s="1">
        <f t="shared" si="19"/>
        <v>1.8153416402801274E+17</v>
      </c>
      <c r="AX17">
        <v>28.5</v>
      </c>
      <c r="AY17" s="4">
        <v>1.0129999999999999</v>
      </c>
      <c r="AZ17" s="5">
        <f t="shared" si="20"/>
        <v>2.0826059814312214E+17</v>
      </c>
      <c r="BI17">
        <v>28.5</v>
      </c>
      <c r="BJ17">
        <v>6.4399999999999999E-2</v>
      </c>
      <c r="BK17" s="1">
        <f>(LN(10)*BJ17)/BL$1</f>
        <v>1.3239864284715764E+16</v>
      </c>
      <c r="BT17">
        <v>28</v>
      </c>
      <c r="BU17">
        <v>1.46E-2</v>
      </c>
      <c r="BV17" s="1">
        <f>(LN(10)*BU17)/BW$1</f>
        <v>3001584139081524.5</v>
      </c>
      <c r="CE17">
        <v>28</v>
      </c>
      <c r="CF17">
        <v>0.66800000000000004</v>
      </c>
      <c r="CG17" s="1">
        <f>(LN(10)*CF17)/CH$1</f>
        <v>1.373327537607163E+17</v>
      </c>
      <c r="CO17" s="3">
        <v>28</v>
      </c>
      <c r="CP17">
        <v>0.71</v>
      </c>
      <c r="CQ17" s="1">
        <f>(LN(10)*CP17)/CR$1</f>
        <v>1.4596744785944397E+17</v>
      </c>
      <c r="CZ17" s="4">
        <v>28</v>
      </c>
      <c r="DA17">
        <v>0.70499999999999996</v>
      </c>
      <c r="DB17" s="1">
        <f>(LN(10)*DA17)/DC$1</f>
        <v>1.4493950808578592E+17</v>
      </c>
      <c r="DK17" s="4">
        <v>28</v>
      </c>
      <c r="DL17">
        <v>0.64100000000000001</v>
      </c>
      <c r="DM17" s="1">
        <f>(LN(10)*DL17)/DN$1</f>
        <v>1.317818789829628E+17</v>
      </c>
      <c r="DV17" s="4">
        <v>28</v>
      </c>
      <c r="DW17">
        <v>0.51700000000000002</v>
      </c>
      <c r="DX17" s="1">
        <f>(LN(10)*DW17)/DY$1</f>
        <v>1.0628897259624302E+17</v>
      </c>
      <c r="EG17" s="4">
        <v>28</v>
      </c>
      <c r="EH17">
        <v>0.48399999999999999</v>
      </c>
      <c r="EI17" s="1">
        <f>(LN(10)*EH17)/EJ$1</f>
        <v>9.9504570090099824E+16</v>
      </c>
      <c r="ER17" s="4">
        <v>28</v>
      </c>
      <c r="ES17">
        <v>0.47399999999999998</v>
      </c>
      <c r="ET17" s="1">
        <f>(LN(10)*ES17)/EU$1</f>
        <v>9.7448690542783728E+16</v>
      </c>
      <c r="FC17" s="4">
        <v>28</v>
      </c>
      <c r="FD17">
        <v>0.37540000000000001</v>
      </c>
      <c r="FE17" s="1">
        <f>(LN(10)*FD17)/FF$1</f>
        <v>7.7177718206246864E+16</v>
      </c>
      <c r="FN17" s="4">
        <v>28</v>
      </c>
      <c r="FO17">
        <v>0.378</v>
      </c>
      <c r="FP17" s="1">
        <f>(LN(10)*FO17)/FQ$1</f>
        <v>7.771224688854904E+16</v>
      </c>
      <c r="FY17" s="4">
        <v>28</v>
      </c>
      <c r="FZ17">
        <v>0.4</v>
      </c>
      <c r="GA17" s="1">
        <f>(LN(10)*FZ17)/GB$1</f>
        <v>8.2235181892644496E+16</v>
      </c>
      <c r="GJ17" s="4">
        <v>28</v>
      </c>
      <c r="GK17">
        <v>0.30880000000000002</v>
      </c>
      <c r="GL17" s="1">
        <f>(LN(10)*GK17)/GM$1</f>
        <v>6.3485560421121552E+16</v>
      </c>
      <c r="GU17" s="4">
        <v>28</v>
      </c>
      <c r="GV17">
        <v>0.32579999999999998</v>
      </c>
      <c r="GW17" s="1"/>
      <c r="HF17" s="4">
        <v>28</v>
      </c>
      <c r="HG17">
        <v>0.28620000000000001</v>
      </c>
      <c r="HH17" s="1">
        <f t="shared" si="15"/>
        <v>5.8839272644187136E+16</v>
      </c>
      <c r="HQ17" s="4">
        <v>28</v>
      </c>
      <c r="HR17">
        <v>0.32690000000000002</v>
      </c>
      <c r="HS17" s="1">
        <f t="shared" si="16"/>
        <v>6.7206702401763712E+16</v>
      </c>
    </row>
    <row r="18" spans="1:227" x14ac:dyDescent="0.35">
      <c r="A18">
        <v>30.5</v>
      </c>
      <c r="B18">
        <v>0.79800000000000004</v>
      </c>
      <c r="C18" s="1">
        <f t="shared" si="0"/>
        <v>1.6405918787582576E+17</v>
      </c>
      <c r="L18" t="s">
        <v>5</v>
      </c>
      <c r="M18" s="1">
        <v>-234700000000000</v>
      </c>
      <c r="Q18">
        <v>32.5</v>
      </c>
      <c r="R18">
        <v>0.83399999999999996</v>
      </c>
      <c r="S18" s="1">
        <f t="shared" si="17"/>
        <v>1.7146035424616378E+17</v>
      </c>
      <c r="AB18">
        <v>32.5</v>
      </c>
      <c r="AC18" s="4">
        <v>0.90100000000000002</v>
      </c>
      <c r="AD18" s="1">
        <f>(LN(10)*AC18)/AE$1</f>
        <v>1.852347472131817E+17</v>
      </c>
      <c r="AM18">
        <v>34.5</v>
      </c>
      <c r="AN18" s="4">
        <v>0.878</v>
      </c>
      <c r="AO18" s="1">
        <f t="shared" si="19"/>
        <v>1.8050622425435469E+17</v>
      </c>
      <c r="AX18">
        <v>30.5</v>
      </c>
      <c r="AY18" s="4">
        <v>1.014</v>
      </c>
      <c r="AZ18" s="5">
        <f t="shared" si="20"/>
        <v>2.0846618609785379E+17</v>
      </c>
      <c r="BI18">
        <v>30.5</v>
      </c>
      <c r="BJ18">
        <v>6.4299999999999996E-2</v>
      </c>
      <c r="BK18" s="1">
        <f t="shared" ref="BK18:BK33" si="22">(LN(10)*BJ18)/BL$1</f>
        <v>1.32193054892426E+16</v>
      </c>
      <c r="BT18">
        <v>30</v>
      </c>
      <c r="BU18">
        <v>1.35E-2</v>
      </c>
      <c r="BV18" s="1">
        <f t="shared" ref="BV18:BV33" si="23">(LN(10)*BU18)/BW$1</f>
        <v>2775437388876751.5</v>
      </c>
      <c r="CE18">
        <v>30</v>
      </c>
      <c r="CF18">
        <v>0.66300000000000003</v>
      </c>
      <c r="CG18" s="1">
        <f t="shared" ref="CG18:CG33" si="24">(LN(10)*CF18)/CH$1</f>
        <v>1.3630481398705826E+17</v>
      </c>
      <c r="CO18">
        <v>30</v>
      </c>
      <c r="CP18">
        <v>0.70499999999999996</v>
      </c>
      <c r="CQ18" s="1">
        <f t="shared" ref="CQ18:CQ38" si="25">(LN(10)*CP18)/CR$1</f>
        <v>1.4493950808578592E+17</v>
      </c>
      <c r="CZ18" s="4">
        <v>30</v>
      </c>
      <c r="DA18">
        <v>0.70399999999999996</v>
      </c>
      <c r="DB18" s="1">
        <f t="shared" ref="DB18:DB33" si="26">(LN(10)*DA18)/DC$1</f>
        <v>1.447339201310543E+17</v>
      </c>
      <c r="DK18" s="4">
        <v>30</v>
      </c>
      <c r="DL18">
        <v>0.63900000000000001</v>
      </c>
      <c r="DM18" s="1">
        <f t="shared" ref="DM18:DM33" si="27">(LN(10)*DL18)/DN$1</f>
        <v>1.3137070307349957E+17</v>
      </c>
      <c r="DV18" s="4">
        <v>30</v>
      </c>
      <c r="DW18">
        <v>0.51600000000000001</v>
      </c>
      <c r="DX18" s="1">
        <f t="shared" ref="DX18:DX33" si="28">(LN(10)*DW18)/DY$1</f>
        <v>1.0608338464151141E+17</v>
      </c>
      <c r="EG18" s="4">
        <v>30</v>
      </c>
      <c r="EH18">
        <v>0.48099999999999998</v>
      </c>
      <c r="EI18" s="1">
        <f t="shared" ref="EI18:EI33" si="29">(LN(10)*EH18)/EJ$1</f>
        <v>9.8887806225905008E+16</v>
      </c>
      <c r="ER18" s="4">
        <v>30</v>
      </c>
      <c r="ES18">
        <v>0.46899999999999997</v>
      </c>
      <c r="ET18" s="1">
        <f t="shared" ref="ET18:ET33" si="30">(LN(10)*ES18)/EU$1</f>
        <v>9.6420750769125664E+16</v>
      </c>
      <c r="FC18" s="4">
        <v>30</v>
      </c>
      <c r="FD18">
        <v>0.37230000000000002</v>
      </c>
      <c r="FE18" s="1">
        <f t="shared" ref="FE18:FE38" si="31">(LN(10)*FD18)/FF$1</f>
        <v>7.6540395546578864E+16</v>
      </c>
      <c r="FN18" s="4">
        <v>30</v>
      </c>
      <c r="FO18">
        <v>0.375</v>
      </c>
      <c r="FP18" s="1">
        <f t="shared" ref="FP18:FP33" si="32">(LN(10)*FO18)/FQ$1</f>
        <v>7.7095483024354208E+16</v>
      </c>
      <c r="FY18" s="4">
        <v>30</v>
      </c>
      <c r="FZ18">
        <v>0.39500000000000002</v>
      </c>
      <c r="GA18" s="1">
        <f t="shared" ref="GA18:GA33" si="33">(LN(10)*FZ18)/GB$1</f>
        <v>8.1207242118986432E+16</v>
      </c>
      <c r="GJ18" s="4">
        <v>30</v>
      </c>
      <c r="GK18">
        <v>0.30780000000000002</v>
      </c>
      <c r="GL18" s="1">
        <f t="shared" ref="GL18:GL33" si="34">(LN(10)*GK18)/GM$1</f>
        <v>6.3279972466389944E+16</v>
      </c>
      <c r="GU18" s="4">
        <v>30</v>
      </c>
      <c r="GV18">
        <v>0.3221</v>
      </c>
      <c r="GW18" s="1">
        <f t="shared" ref="GW18:GW33" si="35">(LN(10)*GV18)/GX$1</f>
        <v>6.6219880219051976E+16</v>
      </c>
      <c r="HF18" s="4">
        <v>30</v>
      </c>
      <c r="HG18">
        <v>0.28570000000000001</v>
      </c>
      <c r="HH18" s="1">
        <f t="shared" ref="HH18:HH30" si="36">(LN(10)*HG18)/HI$1</f>
        <v>5.8736478666821336E+16</v>
      </c>
      <c r="HQ18" s="4">
        <v>30</v>
      </c>
      <c r="HR18">
        <v>0.32350000000000001</v>
      </c>
      <c r="HS18" s="1">
        <f t="shared" si="16"/>
        <v>6.6507703355676232E+16</v>
      </c>
    </row>
    <row r="19" spans="1:227" x14ac:dyDescent="0.35">
      <c r="A19">
        <v>32.5</v>
      </c>
      <c r="B19">
        <v>0.79800000000000004</v>
      </c>
      <c r="C19" s="1">
        <f t="shared" si="0"/>
        <v>1.6405918787582576E+17</v>
      </c>
      <c r="L19" t="s">
        <v>8</v>
      </c>
      <c r="M19" s="1">
        <f>(M18*M$3)/O$3</f>
        <v>106039156626506.03</v>
      </c>
      <c r="Q19">
        <v>34.5</v>
      </c>
      <c r="R19">
        <v>0.83299999999999996</v>
      </c>
      <c r="S19" s="1">
        <f t="shared" si="17"/>
        <v>1.7125476629143216E+17</v>
      </c>
      <c r="AB19">
        <v>34.5</v>
      </c>
      <c r="AC19" s="4">
        <v>0.9</v>
      </c>
      <c r="AD19" s="1">
        <f t="shared" si="18"/>
        <v>1.8502915925845011E+17</v>
      </c>
      <c r="AM19">
        <v>36.5</v>
      </c>
      <c r="AN19" s="4">
        <v>0.878</v>
      </c>
      <c r="AO19" s="1">
        <f t="shared" si="19"/>
        <v>1.8050622425435469E+17</v>
      </c>
      <c r="AX19">
        <v>32.5</v>
      </c>
      <c r="AY19" s="4">
        <v>1.01</v>
      </c>
      <c r="AZ19" s="5">
        <f t="shared" si="20"/>
        <v>2.0764383427892733E+17</v>
      </c>
      <c r="BI19">
        <v>33</v>
      </c>
      <c r="BJ19">
        <v>6.08E-2</v>
      </c>
      <c r="BK19" s="1">
        <f t="shared" si="22"/>
        <v>1.2499747647681964E+16</v>
      </c>
      <c r="BT19">
        <v>32</v>
      </c>
      <c r="BV19" s="1">
        <f t="shared" si="23"/>
        <v>0</v>
      </c>
      <c r="CE19">
        <v>32</v>
      </c>
      <c r="CF19">
        <v>0.66</v>
      </c>
      <c r="CG19" s="1">
        <f t="shared" si="24"/>
        <v>1.3568805012286341E+17</v>
      </c>
      <c r="CO19">
        <v>32</v>
      </c>
      <c r="CP19">
        <v>0.70199999999999996</v>
      </c>
      <c r="CQ19" s="1">
        <f t="shared" si="25"/>
        <v>1.4432274422159107E+17</v>
      </c>
      <c r="CZ19" s="4">
        <v>32</v>
      </c>
      <c r="DA19">
        <v>0.70799999999999996</v>
      </c>
      <c r="DB19" s="1">
        <f t="shared" si="26"/>
        <v>1.4555627194998074E+17</v>
      </c>
      <c r="DK19" s="4">
        <v>32</v>
      </c>
      <c r="DL19">
        <v>0.63800000000000001</v>
      </c>
      <c r="DM19" s="1">
        <f t="shared" si="27"/>
        <v>1.3116511511876798E+17</v>
      </c>
      <c r="DV19" s="4">
        <v>32</v>
      </c>
      <c r="DW19">
        <v>0.51600000000000001</v>
      </c>
      <c r="DX19" s="1">
        <f t="shared" si="28"/>
        <v>1.0608338464151141E+17</v>
      </c>
      <c r="EG19" s="4">
        <v>32</v>
      </c>
      <c r="EH19">
        <v>0.48</v>
      </c>
      <c r="EI19" s="1">
        <f t="shared" si="29"/>
        <v>9.8682218271173392E+16</v>
      </c>
      <c r="ER19" s="4">
        <v>32</v>
      </c>
      <c r="ES19">
        <v>0.46800000000000003</v>
      </c>
      <c r="ET19" s="1">
        <f t="shared" si="30"/>
        <v>9.6215162814394064E+16</v>
      </c>
      <c r="FC19" s="4">
        <v>32</v>
      </c>
      <c r="FD19">
        <v>0.37159999999999999</v>
      </c>
      <c r="FE19" s="1">
        <f t="shared" si="31"/>
        <v>7.6396483978266736E+16</v>
      </c>
      <c r="FN19" s="4">
        <v>32</v>
      </c>
      <c r="FO19">
        <v>0.374</v>
      </c>
      <c r="FP19" s="1">
        <f t="shared" si="32"/>
        <v>7.6889895069622592E+16</v>
      </c>
      <c r="FY19" s="4">
        <v>32</v>
      </c>
      <c r="FZ19">
        <v>0.39600000000000002</v>
      </c>
      <c r="GA19" s="1">
        <f t="shared" si="33"/>
        <v>8.1412830073718048E+16</v>
      </c>
      <c r="GJ19" s="4">
        <v>32</v>
      </c>
      <c r="GK19">
        <v>0.3054</v>
      </c>
      <c r="GL19" s="1">
        <f t="shared" si="34"/>
        <v>6.2786561375034064E+16</v>
      </c>
      <c r="GU19" s="4">
        <v>32</v>
      </c>
      <c r="GV19">
        <v>0.31809999999999999</v>
      </c>
      <c r="GW19" s="1">
        <f t="shared" si="35"/>
        <v>6.5397528400125528E+16</v>
      </c>
      <c r="HF19" s="4">
        <v>32</v>
      </c>
      <c r="HG19">
        <v>0.28339999999999999</v>
      </c>
      <c r="HH19" s="1">
        <f t="shared" si="36"/>
        <v>5.8263626370938624E+16</v>
      </c>
      <c r="HQ19" s="4">
        <v>32</v>
      </c>
      <c r="HR19">
        <v>0.32479999999999998</v>
      </c>
      <c r="HS19" s="1">
        <f t="shared" si="16"/>
        <v>6.677496769682732E+16</v>
      </c>
    </row>
    <row r="20" spans="1:227" x14ac:dyDescent="0.35">
      <c r="A20">
        <v>34.5</v>
      </c>
      <c r="B20">
        <v>0.79400000000000004</v>
      </c>
      <c r="C20" s="1">
        <f t="shared" si="0"/>
        <v>1.6323683605689933E+17</v>
      </c>
      <c r="L20" s="2" t="s">
        <v>28</v>
      </c>
      <c r="Q20">
        <v>36.5</v>
      </c>
      <c r="R20">
        <v>0.83099999999999996</v>
      </c>
      <c r="S20" s="1">
        <f t="shared" si="17"/>
        <v>1.7084359038196893E+17</v>
      </c>
      <c r="AB20">
        <v>36.5</v>
      </c>
      <c r="AC20" s="4">
        <v>0.89800000000000002</v>
      </c>
      <c r="AD20" s="1">
        <f t="shared" si="18"/>
        <v>1.8461798334898688E+17</v>
      </c>
      <c r="AM20">
        <v>38.5</v>
      </c>
      <c r="AN20" s="4">
        <v>0.879</v>
      </c>
      <c r="AO20" s="1">
        <f t="shared" si="19"/>
        <v>1.8071181220908627E+17</v>
      </c>
      <c r="AX20">
        <v>34.5</v>
      </c>
      <c r="AY20" s="4">
        <v>1.0109999999999999</v>
      </c>
      <c r="AZ20" s="5">
        <f t="shared" si="20"/>
        <v>2.0784942223365894E+17</v>
      </c>
      <c r="BI20">
        <v>34.5</v>
      </c>
      <c r="BJ20">
        <v>5.9200000000000003E-2</v>
      </c>
      <c r="BK20" s="1">
        <f t="shared" si="22"/>
        <v>1.2170806920111386E+16</v>
      </c>
      <c r="BT20">
        <v>34</v>
      </c>
      <c r="BV20" s="1">
        <f t="shared" si="23"/>
        <v>0</v>
      </c>
      <c r="CE20">
        <v>34</v>
      </c>
      <c r="CF20">
        <v>0.65900000000000003</v>
      </c>
      <c r="CG20" s="1">
        <f t="shared" si="24"/>
        <v>1.3548246216813182E+17</v>
      </c>
      <c r="CO20">
        <v>34</v>
      </c>
      <c r="CP20">
        <v>0.70299999999999996</v>
      </c>
      <c r="CQ20" s="1">
        <f t="shared" si="25"/>
        <v>1.4452833217632269E+17</v>
      </c>
      <c r="CZ20" s="4">
        <v>34</v>
      </c>
      <c r="DA20">
        <v>0.70399999999999996</v>
      </c>
      <c r="DB20" s="1">
        <f t="shared" si="26"/>
        <v>1.447339201310543E+17</v>
      </c>
      <c r="DK20" s="4">
        <v>34</v>
      </c>
      <c r="DL20">
        <v>0.63600000000000001</v>
      </c>
      <c r="DM20" s="1">
        <f t="shared" si="27"/>
        <v>1.3075393920930475E+17</v>
      </c>
      <c r="DV20" s="4">
        <v>34</v>
      </c>
      <c r="DW20">
        <v>0.51</v>
      </c>
      <c r="DX20" s="1">
        <f t="shared" si="28"/>
        <v>1.0484985691312174E+17</v>
      </c>
      <c r="EG20" s="4">
        <v>34</v>
      </c>
      <c r="EH20">
        <v>0.47899999999999998</v>
      </c>
      <c r="EI20" s="1">
        <f t="shared" si="29"/>
        <v>9.8476630316441776E+16</v>
      </c>
      <c r="ER20" s="4">
        <v>34</v>
      </c>
      <c r="ES20">
        <v>0.46500000000000002</v>
      </c>
      <c r="ET20" s="1">
        <f t="shared" si="30"/>
        <v>9.5598398950199232E+16</v>
      </c>
      <c r="FC20" s="4">
        <v>34</v>
      </c>
      <c r="FD20">
        <v>0.36830000000000002</v>
      </c>
      <c r="FE20" s="1">
        <f t="shared" si="31"/>
        <v>7.5718043727652416E+16</v>
      </c>
      <c r="FN20" s="4">
        <v>34</v>
      </c>
      <c r="FO20">
        <v>0.375</v>
      </c>
      <c r="FP20" s="1">
        <f t="shared" si="32"/>
        <v>7.7095483024354208E+16</v>
      </c>
      <c r="FY20" s="4">
        <v>34</v>
      </c>
      <c r="FZ20">
        <v>0.39200000000000002</v>
      </c>
      <c r="GA20" s="1">
        <f t="shared" si="33"/>
        <v>8.05904782547916E+16</v>
      </c>
      <c r="GJ20" s="4">
        <v>34</v>
      </c>
      <c r="GK20">
        <v>0.3004</v>
      </c>
      <c r="GL20" s="1">
        <f t="shared" si="34"/>
        <v>6.1758621601376016E+16</v>
      </c>
      <c r="GU20" s="4">
        <v>34</v>
      </c>
      <c r="GV20">
        <v>0.31530000000000002</v>
      </c>
      <c r="GW20" s="1">
        <f t="shared" si="35"/>
        <v>6.4821882126877024E+16</v>
      </c>
      <c r="HF20" s="4">
        <v>34</v>
      </c>
      <c r="HG20">
        <v>0.28199999999999997</v>
      </c>
      <c r="HH20" s="1">
        <f t="shared" si="36"/>
        <v>5.797580323431436E+16</v>
      </c>
      <c r="HQ20" s="4">
        <v>34</v>
      </c>
      <c r="HR20">
        <v>0.32079999999999997</v>
      </c>
      <c r="HS20" s="1">
        <f t="shared" si="16"/>
        <v>6.595261587790088E+16</v>
      </c>
    </row>
    <row r="21" spans="1:227" x14ac:dyDescent="0.35">
      <c r="A21">
        <v>36.5</v>
      </c>
      <c r="B21">
        <v>0.79500000000000004</v>
      </c>
      <c r="C21" s="1">
        <f t="shared" si="0"/>
        <v>1.6344242401163094E+17</v>
      </c>
      <c r="L21" t="s">
        <v>5</v>
      </c>
      <c r="M21" s="1">
        <v>-1195000000000000</v>
      </c>
      <c r="Q21">
        <v>38.5</v>
      </c>
      <c r="R21">
        <v>0.83199999999999996</v>
      </c>
      <c r="S21" s="1">
        <f t="shared" si="17"/>
        <v>1.7104917833670054E+17</v>
      </c>
      <c r="AB21">
        <v>38.5</v>
      </c>
      <c r="AC21" s="4">
        <v>0.89600000000000002</v>
      </c>
      <c r="AD21" s="1">
        <f t="shared" si="18"/>
        <v>1.8420680743952365E+17</v>
      </c>
      <c r="AM21">
        <v>40.5</v>
      </c>
      <c r="AN21" s="4">
        <v>0.877</v>
      </c>
      <c r="AO21" s="1">
        <f t="shared" si="19"/>
        <v>1.8030063629962304E+17</v>
      </c>
      <c r="AX21">
        <v>36.5</v>
      </c>
      <c r="AY21" s="4">
        <v>1.0089999999999999</v>
      </c>
      <c r="AZ21" s="5">
        <f t="shared" si="20"/>
        <v>2.0743824632419571E+17</v>
      </c>
      <c r="BI21">
        <v>36.5</v>
      </c>
      <c r="BJ21">
        <v>5.8000000000000003E-2</v>
      </c>
      <c r="BK21" s="1">
        <f t="shared" si="22"/>
        <v>1.1924101374433452E+16</v>
      </c>
      <c r="BT21">
        <v>36</v>
      </c>
      <c r="BV21" s="1">
        <f t="shared" si="23"/>
        <v>0</v>
      </c>
      <c r="CE21">
        <v>36</v>
      </c>
      <c r="CF21">
        <v>0.66100000000000003</v>
      </c>
      <c r="CG21" s="1">
        <f t="shared" si="24"/>
        <v>1.3589363807759502E+17</v>
      </c>
      <c r="CO21">
        <v>36</v>
      </c>
      <c r="CP21">
        <v>0.69599999999999995</v>
      </c>
      <c r="CQ21" s="1">
        <f t="shared" si="25"/>
        <v>1.4308921649320141E+17</v>
      </c>
      <c r="CZ21" s="4">
        <v>36</v>
      </c>
      <c r="DA21">
        <v>0.70499999999999996</v>
      </c>
      <c r="DB21" s="1">
        <f t="shared" si="26"/>
        <v>1.4493950808578592E+17</v>
      </c>
      <c r="DK21" s="4">
        <v>36</v>
      </c>
      <c r="DL21">
        <v>0.63400000000000001</v>
      </c>
      <c r="DM21" s="1">
        <f t="shared" si="27"/>
        <v>1.3034276329984152E+17</v>
      </c>
      <c r="DV21" s="4">
        <v>36</v>
      </c>
      <c r="DW21">
        <v>0.50700000000000001</v>
      </c>
      <c r="DX21" s="1">
        <f t="shared" si="28"/>
        <v>1.042330930489269E+17</v>
      </c>
      <c r="EG21" s="4">
        <v>36</v>
      </c>
      <c r="EH21">
        <v>0.47899999999999998</v>
      </c>
      <c r="EI21" s="1">
        <f t="shared" si="29"/>
        <v>9.8476630316441776E+16</v>
      </c>
      <c r="ER21" s="4">
        <v>36</v>
      </c>
      <c r="ES21">
        <v>0.46700000000000003</v>
      </c>
      <c r="ET21" s="1">
        <f t="shared" si="30"/>
        <v>9.6009574859662448E+16</v>
      </c>
      <c r="FC21" s="4">
        <v>36</v>
      </c>
      <c r="FD21">
        <v>0.3649</v>
      </c>
      <c r="FE21" s="1">
        <f t="shared" si="31"/>
        <v>7.5019044681564944E+16</v>
      </c>
      <c r="FN21" s="4">
        <v>36</v>
      </c>
      <c r="FO21">
        <v>0.373</v>
      </c>
      <c r="FP21" s="1">
        <f t="shared" si="32"/>
        <v>7.6684307114890992E+16</v>
      </c>
      <c r="FY21" s="4">
        <v>36</v>
      </c>
      <c r="FZ21">
        <v>0.39100000000000001</v>
      </c>
      <c r="GA21" s="1">
        <f t="shared" si="33"/>
        <v>8.0384890300059984E+16</v>
      </c>
      <c r="GJ21" s="4">
        <v>36</v>
      </c>
      <c r="GK21">
        <v>0.29849999999999999</v>
      </c>
      <c r="GL21" s="1">
        <f t="shared" si="34"/>
        <v>6.1368004487385952E+16</v>
      </c>
      <c r="GU21" s="4">
        <v>36</v>
      </c>
      <c r="GV21">
        <v>0.31369999999999998</v>
      </c>
      <c r="GW21" s="1">
        <f t="shared" si="35"/>
        <v>6.4492941399306432E+16</v>
      </c>
      <c r="HF21" s="4">
        <v>36</v>
      </c>
      <c r="HG21">
        <v>0.28239999999999998</v>
      </c>
      <c r="HH21" s="1">
        <f t="shared" si="36"/>
        <v>5.8058038416207008E+16</v>
      </c>
      <c r="HQ21" s="4">
        <v>36</v>
      </c>
      <c r="HR21">
        <v>0.31890000000000002</v>
      </c>
      <c r="HS21" s="1">
        <f t="shared" si="16"/>
        <v>6.5561998763910824E+16</v>
      </c>
    </row>
    <row r="22" spans="1:227" x14ac:dyDescent="0.35">
      <c r="A22">
        <v>38.5</v>
      </c>
      <c r="B22">
        <v>0.79600000000000004</v>
      </c>
      <c r="C22" s="1">
        <f t="shared" si="0"/>
        <v>1.6364801196636256E+17</v>
      </c>
      <c r="L22" t="s">
        <v>8</v>
      </c>
      <c r="M22" s="1">
        <f>(M21*M$3)/O$3</f>
        <v>539909638554216.81</v>
      </c>
      <c r="N22" t="s">
        <v>29</v>
      </c>
      <c r="Q22">
        <v>40.5</v>
      </c>
      <c r="R22">
        <v>0.83</v>
      </c>
      <c r="S22" s="1">
        <f t="shared" si="17"/>
        <v>1.7063800242723731E+17</v>
      </c>
      <c r="AB22">
        <v>40.5</v>
      </c>
      <c r="AC22" s="4">
        <v>0.89300000000000002</v>
      </c>
      <c r="AD22" s="1">
        <f t="shared" si="18"/>
        <v>1.8359004357532883E+17</v>
      </c>
      <c r="AM22">
        <v>42.5</v>
      </c>
      <c r="AN22" s="4">
        <v>0.878</v>
      </c>
      <c r="AO22" s="1">
        <f t="shared" si="19"/>
        <v>1.8050622425435469E+17</v>
      </c>
      <c r="AX22">
        <v>38.5</v>
      </c>
      <c r="AY22" s="4">
        <v>1.008</v>
      </c>
      <c r="AZ22" s="5">
        <f t="shared" si="20"/>
        <v>2.072326583694641E+17</v>
      </c>
      <c r="BI22">
        <v>38.5</v>
      </c>
      <c r="BJ22">
        <v>5.2200000000000003E-2</v>
      </c>
      <c r="BK22" s="1">
        <f t="shared" si="22"/>
        <v>1.0731691236990108E+16</v>
      </c>
      <c r="BT22">
        <v>38</v>
      </c>
      <c r="BV22" s="1">
        <f t="shared" si="23"/>
        <v>0</v>
      </c>
      <c r="CE22">
        <v>38</v>
      </c>
      <c r="CF22">
        <v>0.65800000000000003</v>
      </c>
      <c r="CG22" s="1">
        <f t="shared" si="24"/>
        <v>1.3527687421340021E+17</v>
      </c>
      <c r="CO22">
        <v>38</v>
      </c>
      <c r="CP22">
        <v>0.69199999999999995</v>
      </c>
      <c r="CQ22" s="1">
        <f t="shared" si="25"/>
        <v>1.4226686467427498E+17</v>
      </c>
      <c r="CZ22" s="4">
        <v>38</v>
      </c>
      <c r="DA22">
        <v>0.70299999999999996</v>
      </c>
      <c r="DB22" s="1">
        <f t="shared" si="26"/>
        <v>1.4452833217632269E+17</v>
      </c>
      <c r="DK22" s="4">
        <v>38</v>
      </c>
      <c r="DL22">
        <v>0.63</v>
      </c>
      <c r="DM22" s="1">
        <f t="shared" si="27"/>
        <v>1.2952041148091509E+17</v>
      </c>
      <c r="DV22" s="4">
        <v>38</v>
      </c>
      <c r="DW22">
        <v>0.50900000000000001</v>
      </c>
      <c r="DX22" s="1">
        <f t="shared" si="28"/>
        <v>1.0464426895839013E+17</v>
      </c>
      <c r="EG22" s="4">
        <v>38</v>
      </c>
      <c r="EH22">
        <v>0.47299999999999998</v>
      </c>
      <c r="EI22" s="1">
        <f t="shared" si="29"/>
        <v>9.7243102588052112E+16</v>
      </c>
      <c r="ER22" s="4">
        <v>38</v>
      </c>
      <c r="ES22">
        <v>0.46400000000000002</v>
      </c>
      <c r="ET22" s="1">
        <f t="shared" si="30"/>
        <v>9.5392810995467616E+16</v>
      </c>
      <c r="FC22" s="4">
        <v>38</v>
      </c>
      <c r="FD22">
        <v>0.36759999999999998</v>
      </c>
      <c r="FE22" s="1">
        <f t="shared" si="31"/>
        <v>7.5574132159340288E+16</v>
      </c>
      <c r="FN22" s="4">
        <v>38</v>
      </c>
      <c r="FO22">
        <v>0.36799999999999999</v>
      </c>
      <c r="FP22" s="1">
        <f t="shared" si="32"/>
        <v>7.5656367341232928E+16</v>
      </c>
      <c r="FY22" s="4">
        <v>38</v>
      </c>
      <c r="FZ22">
        <v>0.38700000000000001</v>
      </c>
      <c r="GA22" s="1">
        <f t="shared" si="33"/>
        <v>7.9562538481133552E+16</v>
      </c>
      <c r="GJ22" s="4">
        <v>38</v>
      </c>
      <c r="GK22">
        <v>0.29699999999999999</v>
      </c>
      <c r="GL22" s="1">
        <f t="shared" si="34"/>
        <v>6.1059622555288536E+16</v>
      </c>
      <c r="GU22" s="4">
        <v>38</v>
      </c>
      <c r="GV22">
        <v>0.31369999999999998</v>
      </c>
      <c r="GW22" s="1">
        <f t="shared" si="35"/>
        <v>6.4492941399306432E+16</v>
      </c>
      <c r="HF22" s="4">
        <v>38</v>
      </c>
      <c r="HG22">
        <v>0.27900000000000003</v>
      </c>
      <c r="HH22" s="1">
        <f t="shared" si="36"/>
        <v>5.7359039370119536E+16</v>
      </c>
      <c r="HQ22" s="4">
        <v>38</v>
      </c>
      <c r="HR22">
        <v>0.31840000000000002</v>
      </c>
      <c r="HS22" s="1">
        <f t="shared" si="16"/>
        <v>6.5459204786545024E+16</v>
      </c>
    </row>
    <row r="23" spans="1:227" x14ac:dyDescent="0.35">
      <c r="A23">
        <v>40.5</v>
      </c>
      <c r="B23">
        <v>0.79400000000000004</v>
      </c>
      <c r="C23" s="1">
        <f t="shared" si="0"/>
        <v>1.6323683605689933E+17</v>
      </c>
      <c r="L23" s="2" t="s">
        <v>31</v>
      </c>
      <c r="Q23">
        <v>42.5</v>
      </c>
      <c r="R23">
        <v>0.83199999999999996</v>
      </c>
      <c r="S23" s="1">
        <f t="shared" si="17"/>
        <v>1.7104917833670054E+17</v>
      </c>
      <c r="AB23">
        <v>42.5</v>
      </c>
      <c r="AC23" s="4">
        <v>0.89300000000000002</v>
      </c>
      <c r="AD23" s="1">
        <f t="shared" si="18"/>
        <v>1.8359004357532883E+17</v>
      </c>
      <c r="AM23">
        <v>44.5</v>
      </c>
      <c r="AN23" s="4">
        <v>0.873</v>
      </c>
      <c r="AO23" s="1">
        <f t="shared" si="19"/>
        <v>1.7947828448069658E+17</v>
      </c>
      <c r="AX23">
        <v>40.5</v>
      </c>
      <c r="AY23" s="4">
        <v>1.004</v>
      </c>
      <c r="AZ23" s="5">
        <f t="shared" si="20"/>
        <v>2.064103065505377E+17</v>
      </c>
      <c r="BI23">
        <v>40.5</v>
      </c>
      <c r="BJ23">
        <v>5.0900000000000001E-2</v>
      </c>
      <c r="BK23" s="1">
        <f t="shared" si="22"/>
        <v>1.0464426895839012E+16</v>
      </c>
      <c r="BT23">
        <v>40</v>
      </c>
      <c r="BV23" s="1">
        <f t="shared" si="23"/>
        <v>0</v>
      </c>
      <c r="CE23">
        <v>40</v>
      </c>
      <c r="CF23">
        <v>0.65900000000000003</v>
      </c>
      <c r="CG23" s="1">
        <f t="shared" si="24"/>
        <v>1.3548246216813182E+17</v>
      </c>
      <c r="CO23">
        <v>40</v>
      </c>
      <c r="CP23">
        <v>0.68400000000000005</v>
      </c>
      <c r="CQ23" s="1">
        <f t="shared" si="25"/>
        <v>1.406221610364221E+17</v>
      </c>
      <c r="CZ23" s="4">
        <v>40</v>
      </c>
      <c r="DA23">
        <v>0.69899999999999995</v>
      </c>
      <c r="DB23" s="1">
        <f t="shared" si="26"/>
        <v>1.4370598035739624E+17</v>
      </c>
      <c r="DK23" s="4">
        <v>40</v>
      </c>
      <c r="DL23">
        <v>0.63100000000000001</v>
      </c>
      <c r="DM23" s="1">
        <f t="shared" si="27"/>
        <v>1.297259994356467E+17</v>
      </c>
      <c r="DV23" s="4">
        <v>40</v>
      </c>
      <c r="DW23">
        <v>0.505</v>
      </c>
      <c r="DX23" s="1">
        <f t="shared" si="28"/>
        <v>1.0382191713946366E+17</v>
      </c>
      <c r="EG23" s="4">
        <v>40</v>
      </c>
      <c r="EH23">
        <v>0.47099999999999997</v>
      </c>
      <c r="EI23" s="1">
        <f t="shared" si="29"/>
        <v>9.683192667858888E+16</v>
      </c>
      <c r="ER23" s="4">
        <v>40</v>
      </c>
      <c r="ES23">
        <v>0.45600000000000002</v>
      </c>
      <c r="ET23" s="1">
        <f t="shared" si="30"/>
        <v>9.374810735761472E+16</v>
      </c>
      <c r="FC23" s="4">
        <v>40</v>
      </c>
      <c r="FD23">
        <v>0.36</v>
      </c>
      <c r="FE23" s="1">
        <f t="shared" si="31"/>
        <v>7.4011663703380032E+16</v>
      </c>
      <c r="FN23" s="4">
        <v>40</v>
      </c>
      <c r="FO23">
        <v>0.36699999999999999</v>
      </c>
      <c r="FP23" s="1">
        <f t="shared" si="32"/>
        <v>7.5450779386501312E+16</v>
      </c>
      <c r="FY23" s="4">
        <v>40</v>
      </c>
      <c r="FZ23">
        <v>0.38400000000000001</v>
      </c>
      <c r="GA23" s="1">
        <f t="shared" si="33"/>
        <v>7.8945774616938704E+16</v>
      </c>
      <c r="GJ23" s="4">
        <v>40</v>
      </c>
      <c r="GK23">
        <v>0.29530000000000001</v>
      </c>
      <c r="GL23" s="1">
        <f t="shared" si="34"/>
        <v>6.07101230322448E+16</v>
      </c>
      <c r="GU23" s="4">
        <v>40</v>
      </c>
      <c r="GV23">
        <v>0.31040000000000001</v>
      </c>
      <c r="GW23" s="1">
        <f t="shared" si="35"/>
        <v>6.3814501148692128E+16</v>
      </c>
      <c r="HF23" s="4">
        <v>40</v>
      </c>
      <c r="HG23">
        <v>0.27889999999999998</v>
      </c>
      <c r="HH23" s="1">
        <f t="shared" si="36"/>
        <v>5.7338480574646368E+16</v>
      </c>
      <c r="HQ23" s="4">
        <v>40</v>
      </c>
      <c r="HR23">
        <v>0.31690000000000002</v>
      </c>
      <c r="HS23" s="1">
        <f t="shared" si="16"/>
        <v>6.51508228544476E+16</v>
      </c>
    </row>
    <row r="24" spans="1:227" x14ac:dyDescent="0.35">
      <c r="A24">
        <v>42.5</v>
      </c>
      <c r="B24">
        <v>0.79200000000000004</v>
      </c>
      <c r="C24" s="1">
        <f t="shared" si="0"/>
        <v>1.628256601474361E+17</v>
      </c>
      <c r="L24" t="s">
        <v>5</v>
      </c>
      <c r="M24" s="1">
        <v>-245500000000000</v>
      </c>
      <c r="Q24">
        <v>44.5</v>
      </c>
      <c r="R24">
        <v>0.83099999999999996</v>
      </c>
      <c r="S24" s="1">
        <f t="shared" si="17"/>
        <v>1.7084359038196893E+17</v>
      </c>
      <c r="AB24">
        <v>44.5</v>
      </c>
      <c r="AC24" s="4">
        <v>0.89</v>
      </c>
      <c r="AD24" s="1">
        <f t="shared" si="18"/>
        <v>1.8297327971113402E+17</v>
      </c>
      <c r="AM24">
        <v>46.5</v>
      </c>
      <c r="AN24" s="4">
        <v>0.879</v>
      </c>
      <c r="AO24" s="1">
        <f t="shared" si="19"/>
        <v>1.8071181220908627E+17</v>
      </c>
      <c r="AX24">
        <v>42.5</v>
      </c>
      <c r="AY24" s="4">
        <v>1</v>
      </c>
      <c r="AZ24" s="5">
        <f t="shared" si="20"/>
        <v>2.0558795473161123E+17</v>
      </c>
      <c r="BI24">
        <v>42.5</v>
      </c>
      <c r="BJ24">
        <v>5.16E-2</v>
      </c>
      <c r="BK24" s="1">
        <f t="shared" si="22"/>
        <v>1.060833846415114E+16</v>
      </c>
      <c r="BT24">
        <v>42</v>
      </c>
      <c r="BV24" s="1">
        <f t="shared" si="23"/>
        <v>0</v>
      </c>
      <c r="CE24">
        <v>42</v>
      </c>
      <c r="CF24">
        <v>0.65600000000000003</v>
      </c>
      <c r="CG24" s="1">
        <f t="shared" si="24"/>
        <v>1.3486569830393698E+17</v>
      </c>
      <c r="CO24">
        <v>42</v>
      </c>
      <c r="CP24">
        <v>0.68400000000000005</v>
      </c>
      <c r="CQ24" s="1">
        <f t="shared" si="25"/>
        <v>1.406221610364221E+17</v>
      </c>
      <c r="CZ24" s="4">
        <v>42</v>
      </c>
      <c r="DA24">
        <v>0.69899999999999995</v>
      </c>
      <c r="DB24" s="1">
        <f t="shared" si="26"/>
        <v>1.4370598035739624E+17</v>
      </c>
      <c r="DK24" s="4">
        <v>42</v>
      </c>
      <c r="DL24">
        <v>0.63100000000000001</v>
      </c>
      <c r="DM24" s="1">
        <f t="shared" si="27"/>
        <v>1.297259994356467E+17</v>
      </c>
      <c r="DV24" s="4">
        <v>42</v>
      </c>
      <c r="DW24">
        <v>0.504</v>
      </c>
      <c r="DX24" s="1">
        <f t="shared" si="28"/>
        <v>1.0361632918473205E+17</v>
      </c>
      <c r="EG24" s="4">
        <v>42</v>
      </c>
      <c r="EH24">
        <v>0.47299999999999998</v>
      </c>
      <c r="EI24" s="1">
        <f t="shared" si="29"/>
        <v>9.7243102588052112E+16</v>
      </c>
      <c r="ER24" s="4">
        <v>42</v>
      </c>
      <c r="ES24">
        <v>0.45900000000000002</v>
      </c>
      <c r="ET24" s="1">
        <f t="shared" si="30"/>
        <v>9.4364871221809568E+16</v>
      </c>
      <c r="FC24" s="4">
        <v>42</v>
      </c>
      <c r="FD24">
        <v>0.36</v>
      </c>
      <c r="FE24" s="1">
        <f t="shared" si="31"/>
        <v>7.4011663703380032E+16</v>
      </c>
      <c r="FN24" s="4">
        <v>42</v>
      </c>
      <c r="FO24">
        <v>0.36499999999999999</v>
      </c>
      <c r="FP24" s="1">
        <f t="shared" si="32"/>
        <v>7.5039603477038096E+16</v>
      </c>
      <c r="FY24" s="4">
        <v>42</v>
      </c>
      <c r="FZ24">
        <v>0.38200000000000001</v>
      </c>
      <c r="GA24" s="1">
        <f t="shared" si="33"/>
        <v>7.8534598707475488E+16</v>
      </c>
      <c r="GJ24" s="4">
        <v>42</v>
      </c>
      <c r="GK24">
        <v>0.29430000000000001</v>
      </c>
      <c r="GL24" s="1">
        <f t="shared" si="34"/>
        <v>6.0504535077513192E+16</v>
      </c>
      <c r="GU24" s="4">
        <v>42</v>
      </c>
      <c r="GV24">
        <v>0.30769999999999997</v>
      </c>
      <c r="GW24" s="1">
        <f t="shared" si="35"/>
        <v>6.3259413670916768E+16</v>
      </c>
      <c r="HF24" s="4">
        <v>42</v>
      </c>
      <c r="HG24">
        <v>0.27379999999999999</v>
      </c>
      <c r="HH24" s="1">
        <f t="shared" si="36"/>
        <v>5.628998200551516E+16</v>
      </c>
      <c r="HQ24" s="4">
        <v>42</v>
      </c>
      <c r="HR24">
        <v>0.31519999999999998</v>
      </c>
      <c r="HS24" s="1">
        <f t="shared" si="16"/>
        <v>6.4801323331403856E+16</v>
      </c>
    </row>
    <row r="25" spans="1:227" x14ac:dyDescent="0.35">
      <c r="A25">
        <v>44.5</v>
      </c>
      <c r="B25">
        <v>0.79100000000000004</v>
      </c>
      <c r="C25" s="1">
        <f t="shared" si="0"/>
        <v>1.6262007219270448E+17</v>
      </c>
      <c r="L25" t="s">
        <v>8</v>
      </c>
      <c r="M25" s="1">
        <f>(M24*M$3)/O$3</f>
        <v>110918674698795.19</v>
      </c>
      <c r="Q25">
        <v>46.5</v>
      </c>
      <c r="R25">
        <v>0.82899999999999996</v>
      </c>
      <c r="S25" s="1">
        <f t="shared" si="17"/>
        <v>1.704324144725057E+17</v>
      </c>
      <c r="AB25">
        <v>46.5</v>
      </c>
      <c r="AC25" s="4">
        <v>0.88800000000000001</v>
      </c>
      <c r="AD25" s="1">
        <f t="shared" si="18"/>
        <v>1.8256210380167078E+17</v>
      </c>
      <c r="AM25">
        <v>48.5</v>
      </c>
      <c r="AN25" s="4">
        <v>0.879</v>
      </c>
      <c r="AO25" s="1">
        <f t="shared" si="19"/>
        <v>1.8071181220908627E+17</v>
      </c>
      <c r="AX25">
        <v>44.5</v>
      </c>
      <c r="AY25" s="4">
        <v>0.998</v>
      </c>
      <c r="AZ25" s="5">
        <f t="shared" si="20"/>
        <v>2.05176778822148E+17</v>
      </c>
      <c r="BI25">
        <v>44.5</v>
      </c>
      <c r="BJ25">
        <v>4.7399999999999998E-2</v>
      </c>
      <c r="BK25" s="1">
        <f t="shared" si="22"/>
        <v>9744869054278372</v>
      </c>
      <c r="BT25">
        <v>44</v>
      </c>
      <c r="BV25" s="1">
        <f t="shared" si="23"/>
        <v>0</v>
      </c>
      <c r="CE25">
        <v>44</v>
      </c>
      <c r="CF25">
        <v>0.65200000000000002</v>
      </c>
      <c r="CG25" s="1">
        <f t="shared" si="24"/>
        <v>1.3404334648501054E+17</v>
      </c>
      <c r="CO25">
        <v>44</v>
      </c>
      <c r="CP25">
        <v>0.68</v>
      </c>
      <c r="CQ25" s="1">
        <f t="shared" si="25"/>
        <v>1.3979980921749563E+17</v>
      </c>
      <c r="CZ25" s="4">
        <v>44</v>
      </c>
      <c r="DA25">
        <v>0.69499999999999995</v>
      </c>
      <c r="DB25" s="1">
        <f t="shared" si="26"/>
        <v>1.4288362853846979E+17</v>
      </c>
      <c r="DK25" s="4">
        <v>44</v>
      </c>
      <c r="DL25">
        <v>0.629</v>
      </c>
      <c r="DM25" s="1">
        <f t="shared" si="27"/>
        <v>1.2931482352618347E+17</v>
      </c>
      <c r="DV25" s="4">
        <v>44</v>
      </c>
      <c r="DW25">
        <v>0.501</v>
      </c>
      <c r="DX25" s="1">
        <f t="shared" si="28"/>
        <v>1.0299956532053723E+17</v>
      </c>
      <c r="EG25" s="4">
        <v>44</v>
      </c>
      <c r="EH25">
        <v>0.46899999999999997</v>
      </c>
      <c r="EI25" s="1">
        <f t="shared" si="29"/>
        <v>9.6420750769125664E+16</v>
      </c>
      <c r="ER25" s="4">
        <v>44</v>
      </c>
      <c r="ES25">
        <v>0.45600000000000002</v>
      </c>
      <c r="ET25" s="1">
        <f t="shared" si="30"/>
        <v>9.374810735761472E+16</v>
      </c>
      <c r="FC25" s="4">
        <v>44</v>
      </c>
      <c r="FD25">
        <v>0.3574</v>
      </c>
      <c r="FE25" s="1">
        <f t="shared" si="31"/>
        <v>7.3477135021077856E+16</v>
      </c>
      <c r="FN25" s="4">
        <v>44</v>
      </c>
      <c r="FO25">
        <v>0.36299999999999999</v>
      </c>
      <c r="FP25" s="1">
        <f t="shared" si="32"/>
        <v>7.462842756757488E+16</v>
      </c>
      <c r="FY25" s="4">
        <v>44</v>
      </c>
      <c r="FZ25">
        <v>0.379</v>
      </c>
      <c r="GA25" s="1">
        <f t="shared" si="33"/>
        <v>7.7917834843280656E+16</v>
      </c>
      <c r="GJ25" s="4">
        <v>44</v>
      </c>
      <c r="GK25">
        <v>0.28839999999999999</v>
      </c>
      <c r="GL25" s="1">
        <f t="shared" si="34"/>
        <v>5.9291566144596672E+16</v>
      </c>
      <c r="GU25" s="4">
        <v>44</v>
      </c>
      <c r="GV25">
        <v>0.30580000000000002</v>
      </c>
      <c r="GW25" s="1">
        <f t="shared" si="35"/>
        <v>6.286879655692672E+16</v>
      </c>
      <c r="HF25" s="4">
        <v>44</v>
      </c>
      <c r="HG25">
        <v>0.27250000000000002</v>
      </c>
      <c r="HH25" s="1">
        <f t="shared" si="36"/>
        <v>5.6022717664364064E+16</v>
      </c>
      <c r="HQ25" s="4">
        <v>44</v>
      </c>
      <c r="HR25">
        <v>0.31230000000000002</v>
      </c>
      <c r="HS25" s="1">
        <f t="shared" si="16"/>
        <v>6.4205118262682192E+16</v>
      </c>
    </row>
    <row r="26" spans="1:227" x14ac:dyDescent="0.35">
      <c r="A26">
        <v>46.5</v>
      </c>
      <c r="B26">
        <v>0.79</v>
      </c>
      <c r="C26" s="1">
        <f t="shared" si="0"/>
        <v>1.6241448423797286E+17</v>
      </c>
      <c r="L26" s="8" t="s">
        <v>32</v>
      </c>
      <c r="M26" s="8"/>
      <c r="Q26">
        <v>48.5</v>
      </c>
      <c r="R26">
        <v>0.82799999999999996</v>
      </c>
      <c r="S26" s="1">
        <f t="shared" si="17"/>
        <v>1.7022682651777408E+17</v>
      </c>
      <c r="AB26">
        <v>48.5</v>
      </c>
      <c r="AC26" s="4">
        <v>0.88800000000000001</v>
      </c>
      <c r="AD26" s="1">
        <f t="shared" si="18"/>
        <v>1.8256210380167078E+17</v>
      </c>
      <c r="AM26">
        <v>51.5</v>
      </c>
      <c r="AN26" s="4">
        <v>0.875</v>
      </c>
      <c r="AO26" s="1">
        <f t="shared" si="19"/>
        <v>1.7988946039015981E+17</v>
      </c>
      <c r="AX26">
        <v>46.5</v>
      </c>
      <c r="AY26" s="4">
        <v>0.99199999999999999</v>
      </c>
      <c r="AZ26" s="5">
        <f t="shared" si="20"/>
        <v>2.0394325109375837E+17</v>
      </c>
      <c r="BI26">
        <v>46.5</v>
      </c>
      <c r="BJ26">
        <v>4.6899999999999997E-2</v>
      </c>
      <c r="BK26" s="1">
        <f t="shared" si="22"/>
        <v>9642075076912566</v>
      </c>
      <c r="BT26">
        <v>46</v>
      </c>
      <c r="BV26" s="1">
        <f t="shared" si="23"/>
        <v>0</v>
      </c>
      <c r="CE26">
        <v>46</v>
      </c>
      <c r="CF26">
        <v>0.64600000000000002</v>
      </c>
      <c r="CG26" s="1">
        <f t="shared" si="24"/>
        <v>1.3280981875662085E+17</v>
      </c>
      <c r="CO26">
        <v>46</v>
      </c>
      <c r="CP26">
        <v>0.67800000000000005</v>
      </c>
      <c r="CQ26" s="1">
        <f t="shared" si="25"/>
        <v>1.3938863330803243E+17</v>
      </c>
      <c r="CZ26" s="4">
        <v>46</v>
      </c>
      <c r="DA26">
        <v>0.69599999999999995</v>
      </c>
      <c r="DB26" s="1">
        <f t="shared" si="26"/>
        <v>1.4308921649320141E+17</v>
      </c>
      <c r="DK26" s="4">
        <v>46</v>
      </c>
      <c r="DL26">
        <v>0.628</v>
      </c>
      <c r="DM26" s="1">
        <f t="shared" si="27"/>
        <v>1.2910923557145186E+17</v>
      </c>
      <c r="DV26" s="4">
        <v>46</v>
      </c>
      <c r="DW26">
        <v>0.499</v>
      </c>
      <c r="DX26" s="1">
        <f t="shared" si="28"/>
        <v>1.02588389411074E+17</v>
      </c>
      <c r="EG26" s="4">
        <v>46</v>
      </c>
      <c r="EH26">
        <v>0.46700000000000003</v>
      </c>
      <c r="EI26" s="1">
        <f t="shared" si="29"/>
        <v>9.6009574859662448E+16</v>
      </c>
      <c r="ER26" s="4">
        <v>46</v>
      </c>
      <c r="ES26">
        <v>0.45400000000000001</v>
      </c>
      <c r="ET26" s="1">
        <f t="shared" si="30"/>
        <v>9.3336931448151488E+16</v>
      </c>
      <c r="FC26" s="4">
        <v>46</v>
      </c>
      <c r="FD26">
        <v>0.35899999999999999</v>
      </c>
      <c r="FE26" s="1">
        <f t="shared" si="31"/>
        <v>7.3806075748648432E+16</v>
      </c>
      <c r="FN26" s="4">
        <v>46</v>
      </c>
      <c r="FO26">
        <v>0.36199999999999999</v>
      </c>
      <c r="FP26" s="1">
        <f t="shared" si="32"/>
        <v>7.4422839612843264E+16</v>
      </c>
      <c r="FY26" s="4">
        <v>46</v>
      </c>
      <c r="FZ26">
        <v>0.376</v>
      </c>
      <c r="GA26" s="1">
        <f t="shared" si="33"/>
        <v>7.7301070979085824E+16</v>
      </c>
      <c r="GJ26" s="4">
        <v>46</v>
      </c>
      <c r="GK26">
        <v>0.28949999999999998</v>
      </c>
      <c r="GL26" s="1">
        <f t="shared" si="34"/>
        <v>5.9517712894801448E+16</v>
      </c>
      <c r="GU26" s="4">
        <v>46</v>
      </c>
      <c r="GV26">
        <v>0.3049</v>
      </c>
      <c r="GW26" s="1">
        <f t="shared" si="35"/>
        <v>6.2683767397668272E+16</v>
      </c>
      <c r="HF26" s="4">
        <v>46</v>
      </c>
      <c r="HG26">
        <v>0.27279999999999999</v>
      </c>
      <c r="HH26" s="1">
        <f t="shared" si="36"/>
        <v>5.6084394050783544E+16</v>
      </c>
      <c r="HQ26" s="4">
        <v>46</v>
      </c>
      <c r="HR26">
        <v>0.31340000000000001</v>
      </c>
      <c r="HS26" s="1">
        <f t="shared" si="16"/>
        <v>6.443126501288696E+16</v>
      </c>
    </row>
    <row r="27" spans="1:227" x14ac:dyDescent="0.35">
      <c r="A27">
        <v>48.5</v>
      </c>
      <c r="B27">
        <v>0.78900000000000003</v>
      </c>
      <c r="C27" s="1">
        <f t="shared" si="0"/>
        <v>1.6220889628324125E+17</v>
      </c>
      <c r="L27" t="s">
        <v>5</v>
      </c>
      <c r="M27" s="1">
        <v>-248600000000000</v>
      </c>
      <c r="Q27">
        <v>52.5</v>
      </c>
      <c r="R27">
        <v>0.82799999999999996</v>
      </c>
      <c r="S27" s="1">
        <f t="shared" si="17"/>
        <v>1.7022682651777408E+17</v>
      </c>
      <c r="AB27">
        <v>50.5</v>
      </c>
      <c r="AC27" s="4">
        <v>0.88800000000000001</v>
      </c>
      <c r="AD27" s="1">
        <f t="shared" si="18"/>
        <v>1.8256210380167078E+17</v>
      </c>
      <c r="AM27">
        <v>52.5</v>
      </c>
      <c r="AN27" s="4">
        <v>0.875</v>
      </c>
      <c r="AO27" s="1">
        <f t="shared" si="19"/>
        <v>1.7988946039015981E+17</v>
      </c>
      <c r="AX27">
        <v>48.5</v>
      </c>
      <c r="AY27" s="4">
        <v>0.995</v>
      </c>
      <c r="AZ27" s="5">
        <f t="shared" si="20"/>
        <v>2.0456001495795318E+17</v>
      </c>
      <c r="BI27">
        <v>48.5</v>
      </c>
      <c r="BJ27">
        <v>4.4499999999999998E-2</v>
      </c>
      <c r="BK27" s="1">
        <f t="shared" si="22"/>
        <v>9148663985556700</v>
      </c>
      <c r="BT27">
        <v>48</v>
      </c>
      <c r="BV27" s="1">
        <f t="shared" si="23"/>
        <v>0</v>
      </c>
      <c r="CE27">
        <v>48</v>
      </c>
      <c r="CF27">
        <v>0.64100000000000001</v>
      </c>
      <c r="CG27" s="1">
        <f t="shared" si="24"/>
        <v>1.317818789829628E+17</v>
      </c>
      <c r="CO27">
        <v>48</v>
      </c>
      <c r="CP27">
        <v>0.67500000000000004</v>
      </c>
      <c r="CQ27" s="1">
        <f t="shared" si="25"/>
        <v>1.3877186944383758E+17</v>
      </c>
      <c r="CZ27" s="4">
        <v>48</v>
      </c>
      <c r="DA27">
        <v>0.69499999999999995</v>
      </c>
      <c r="DB27" s="1">
        <f t="shared" si="26"/>
        <v>1.4288362853846979E+17</v>
      </c>
      <c r="DK27" s="4">
        <v>48</v>
      </c>
      <c r="DL27">
        <v>0.628</v>
      </c>
      <c r="DM27" s="1">
        <f t="shared" si="27"/>
        <v>1.2910923557145186E+17</v>
      </c>
      <c r="DV27" s="4">
        <v>48</v>
      </c>
      <c r="DW27">
        <v>0.496</v>
      </c>
      <c r="DX27" s="1">
        <f t="shared" si="28"/>
        <v>1.0197162554687918E+17</v>
      </c>
      <c r="EG27" s="4">
        <v>48</v>
      </c>
      <c r="EH27">
        <v>0.46899999999999997</v>
      </c>
      <c r="EI27" s="1">
        <f t="shared" si="29"/>
        <v>9.6420750769125664E+16</v>
      </c>
      <c r="ER27" s="4">
        <v>48</v>
      </c>
      <c r="ES27">
        <v>0.44700000000000001</v>
      </c>
      <c r="ET27" s="1">
        <f t="shared" si="30"/>
        <v>9.1897815765030208E+16</v>
      </c>
      <c r="FC27" s="4">
        <v>48</v>
      </c>
      <c r="FD27">
        <v>0.35649999999999998</v>
      </c>
      <c r="FE27" s="1">
        <f t="shared" si="31"/>
        <v>7.3292105861819392E+16</v>
      </c>
      <c r="FN27" s="4">
        <v>48</v>
      </c>
      <c r="FO27">
        <v>0.35399999999999998</v>
      </c>
      <c r="FP27" s="1">
        <f t="shared" si="32"/>
        <v>7.2778135974990368E+16</v>
      </c>
      <c r="FY27" s="4">
        <v>48</v>
      </c>
      <c r="FZ27">
        <v>0.376</v>
      </c>
      <c r="GA27" s="1">
        <f t="shared" si="33"/>
        <v>7.7301070979085824E+16</v>
      </c>
      <c r="GJ27" s="4">
        <v>48</v>
      </c>
      <c r="GK27">
        <v>0.28410000000000002</v>
      </c>
      <c r="GL27" s="1">
        <f t="shared" si="34"/>
        <v>5.8407537939250752E+16</v>
      </c>
      <c r="GU27" s="4">
        <v>48</v>
      </c>
      <c r="GV27">
        <v>0.3004</v>
      </c>
      <c r="GW27" s="1">
        <f t="shared" si="35"/>
        <v>6.1758621601376016E+16</v>
      </c>
      <c r="HF27" s="4">
        <v>48</v>
      </c>
      <c r="HG27">
        <v>0.27229999999999999</v>
      </c>
      <c r="HH27" s="1">
        <f t="shared" si="36"/>
        <v>5.5981600073417736E+16</v>
      </c>
      <c r="HQ27" s="4">
        <v>48</v>
      </c>
      <c r="HR27">
        <v>0.31230000000000002</v>
      </c>
      <c r="HS27" s="1">
        <f t="shared" si="16"/>
        <v>6.4205118262682192E+16</v>
      </c>
    </row>
    <row r="28" spans="1:227" x14ac:dyDescent="0.35">
      <c r="A28">
        <v>50.5</v>
      </c>
      <c r="B28">
        <v>0.78700000000000003</v>
      </c>
      <c r="C28" s="1">
        <f t="shared" si="0"/>
        <v>1.6179772037377805E+17</v>
      </c>
      <c r="L28" t="s">
        <v>8</v>
      </c>
      <c r="M28" s="1">
        <f>(M27*M$3)/O$3</f>
        <v>112319277108433.73</v>
      </c>
      <c r="Q28">
        <v>54.5</v>
      </c>
      <c r="R28">
        <v>0.82799999999999996</v>
      </c>
      <c r="S28" s="1">
        <f t="shared" si="17"/>
        <v>1.7022682651777408E+17</v>
      </c>
      <c r="AB28">
        <v>52.5</v>
      </c>
      <c r="AC28" s="4">
        <v>0.88600000000000001</v>
      </c>
      <c r="AD28" s="1">
        <f t="shared" si="18"/>
        <v>1.8215092789220755E+17</v>
      </c>
      <c r="AM28">
        <v>54.5</v>
      </c>
      <c r="AN28" s="4">
        <v>0.873</v>
      </c>
      <c r="AO28" s="1">
        <f t="shared" si="19"/>
        <v>1.7947828448069658E+17</v>
      </c>
      <c r="AX28">
        <v>50.5</v>
      </c>
      <c r="AY28" s="4">
        <v>0.996</v>
      </c>
      <c r="AZ28" s="5">
        <f t="shared" si="20"/>
        <v>2.0476560291268477E+17</v>
      </c>
      <c r="BI28">
        <v>50.5</v>
      </c>
      <c r="BJ28">
        <v>4.0599999999999997E-2</v>
      </c>
      <c r="BK28" s="1">
        <f t="shared" si="22"/>
        <v>8346870962103415</v>
      </c>
      <c r="BT28">
        <v>50</v>
      </c>
      <c r="BV28" s="1">
        <f t="shared" si="23"/>
        <v>0</v>
      </c>
      <c r="CE28">
        <v>50</v>
      </c>
      <c r="CF28">
        <v>0.64200000000000002</v>
      </c>
      <c r="CG28" s="1">
        <f t="shared" si="24"/>
        <v>1.3198746693769442E+17</v>
      </c>
      <c r="CO28">
        <v>50</v>
      </c>
      <c r="CP28">
        <v>0.67600000000000005</v>
      </c>
      <c r="CQ28" s="1">
        <f t="shared" si="25"/>
        <v>1.389774573985692E+17</v>
      </c>
      <c r="CZ28" s="4">
        <v>50</v>
      </c>
      <c r="DA28">
        <v>0.69199999999999995</v>
      </c>
      <c r="DB28" s="1">
        <f t="shared" si="26"/>
        <v>1.4226686467427498E+17</v>
      </c>
      <c r="DK28" s="4">
        <v>50</v>
      </c>
      <c r="DL28">
        <v>0.625</v>
      </c>
      <c r="DM28" s="1">
        <f t="shared" si="27"/>
        <v>1.2849247170725702E+17</v>
      </c>
      <c r="DV28" s="4">
        <v>50</v>
      </c>
      <c r="DW28">
        <v>0.496</v>
      </c>
      <c r="DX28" s="1">
        <f t="shared" si="28"/>
        <v>1.0197162554687918E+17</v>
      </c>
      <c r="EG28" s="4">
        <v>50</v>
      </c>
      <c r="EH28">
        <v>0.46400000000000002</v>
      </c>
      <c r="EI28" s="1">
        <f t="shared" si="29"/>
        <v>9.5392810995467616E+16</v>
      </c>
      <c r="ER28" s="4">
        <v>50</v>
      </c>
      <c r="ES28">
        <v>0.45</v>
      </c>
      <c r="ET28" s="1">
        <f t="shared" si="30"/>
        <v>9.2514579629225056E+16</v>
      </c>
      <c r="FC28" s="4">
        <v>50</v>
      </c>
      <c r="FD28">
        <v>0.3579</v>
      </c>
      <c r="FE28" s="1">
        <f t="shared" si="31"/>
        <v>7.3579928998443664E+16</v>
      </c>
      <c r="FN28" s="4">
        <v>50</v>
      </c>
      <c r="FO28">
        <v>0.35699999999999998</v>
      </c>
      <c r="FP28" s="1">
        <f t="shared" si="32"/>
        <v>7.33948998391852E+16</v>
      </c>
      <c r="FY28" s="4">
        <v>50</v>
      </c>
      <c r="FZ28">
        <v>0.373</v>
      </c>
      <c r="GA28" s="1">
        <f t="shared" si="33"/>
        <v>7.6684307114890992E+16</v>
      </c>
      <c r="GJ28" s="4">
        <v>50</v>
      </c>
      <c r="GK28">
        <v>0.2828</v>
      </c>
      <c r="GL28" s="1">
        <f t="shared" si="34"/>
        <v>5.8140273598099656E+16</v>
      </c>
      <c r="GU28" s="4">
        <v>50</v>
      </c>
      <c r="GV28">
        <v>0.3004</v>
      </c>
      <c r="GW28" s="1">
        <f t="shared" si="35"/>
        <v>6.1758621601376016E+16</v>
      </c>
      <c r="HF28" s="4">
        <v>50</v>
      </c>
      <c r="HG28">
        <v>0.27260000000000001</v>
      </c>
      <c r="HH28" s="1">
        <f t="shared" si="36"/>
        <v>5.6043276459837232E+16</v>
      </c>
      <c r="HQ28" s="4">
        <v>50</v>
      </c>
      <c r="HR28">
        <v>0.31080000000000002</v>
      </c>
      <c r="HS28" s="1">
        <f t="shared" si="16"/>
        <v>6.3896736330584776E+16</v>
      </c>
    </row>
    <row r="29" spans="1:227" x14ac:dyDescent="0.35">
      <c r="A29">
        <v>52.5</v>
      </c>
      <c r="B29">
        <v>0.78900000000000003</v>
      </c>
      <c r="C29" s="1">
        <f t="shared" si="0"/>
        <v>1.6220889628324125E+17</v>
      </c>
      <c r="L29" s="8" t="s">
        <v>37</v>
      </c>
      <c r="M29" s="8"/>
      <c r="Q29">
        <v>56.5</v>
      </c>
      <c r="R29">
        <v>0.82799999999999996</v>
      </c>
      <c r="S29" s="1">
        <f t="shared" si="17"/>
        <v>1.7022682651777408E+17</v>
      </c>
      <c r="AB29">
        <v>54.5</v>
      </c>
      <c r="AC29" s="4">
        <v>0.88300000000000001</v>
      </c>
      <c r="AD29" s="1">
        <f t="shared" si="18"/>
        <v>1.8153416402801274E+17</v>
      </c>
      <c r="AM29">
        <v>56.5</v>
      </c>
      <c r="AN29" s="4">
        <v>0.874</v>
      </c>
      <c r="AO29" s="1">
        <f t="shared" si="19"/>
        <v>1.7968387243542822E+17</v>
      </c>
      <c r="AX29">
        <v>52.5</v>
      </c>
      <c r="AY29" s="4">
        <v>0.99299999999999999</v>
      </c>
      <c r="AZ29" s="5">
        <f t="shared" si="20"/>
        <v>2.0414883904848995E+17</v>
      </c>
      <c r="BI29">
        <v>52.5</v>
      </c>
      <c r="BJ29">
        <v>4.07E-2</v>
      </c>
      <c r="BK29" s="1">
        <f t="shared" si="22"/>
        <v>8367429757576577</v>
      </c>
      <c r="BT29">
        <v>52</v>
      </c>
      <c r="BV29" s="1">
        <f t="shared" si="23"/>
        <v>0</v>
      </c>
      <c r="CE29">
        <v>52</v>
      </c>
      <c r="CF29">
        <v>0.63900000000000001</v>
      </c>
      <c r="CG29" s="1">
        <f t="shared" si="24"/>
        <v>1.3137070307349957E+17</v>
      </c>
      <c r="CO29">
        <v>52</v>
      </c>
      <c r="CP29">
        <v>0.67600000000000005</v>
      </c>
      <c r="CQ29" s="1">
        <f t="shared" si="25"/>
        <v>1.389774573985692E+17</v>
      </c>
      <c r="CZ29" s="4">
        <v>52</v>
      </c>
      <c r="DA29">
        <v>0.69</v>
      </c>
      <c r="DB29" s="1">
        <f t="shared" si="26"/>
        <v>1.4185568876481174E+17</v>
      </c>
      <c r="DK29" s="4">
        <v>52</v>
      </c>
      <c r="DL29">
        <v>0.627</v>
      </c>
      <c r="DM29" s="1">
        <f t="shared" si="27"/>
        <v>1.2890364761672024E+17</v>
      </c>
      <c r="DV29" s="4">
        <v>52</v>
      </c>
      <c r="DW29">
        <v>0.49099999999999999</v>
      </c>
      <c r="DX29" s="1">
        <f t="shared" si="28"/>
        <v>1.009436857732211E+17</v>
      </c>
      <c r="EG29" s="4">
        <v>52</v>
      </c>
      <c r="EH29">
        <v>0.46700000000000003</v>
      </c>
      <c r="EI29" s="1">
        <f t="shared" si="29"/>
        <v>9.6009574859662448E+16</v>
      </c>
      <c r="ER29" s="4">
        <v>52</v>
      </c>
      <c r="ES29">
        <v>0.44600000000000001</v>
      </c>
      <c r="ET29" s="1">
        <f t="shared" si="30"/>
        <v>9.1692227810298624E+16</v>
      </c>
      <c r="FC29" s="4">
        <v>52</v>
      </c>
      <c r="FD29">
        <v>0.35570000000000002</v>
      </c>
      <c r="FE29" s="1">
        <f t="shared" si="31"/>
        <v>7.3127635498034112E+16</v>
      </c>
      <c r="FN29" s="4">
        <v>52</v>
      </c>
      <c r="FO29">
        <v>0.35199999999999998</v>
      </c>
      <c r="FP29" s="1">
        <f t="shared" si="32"/>
        <v>7.2366960065527152E+16</v>
      </c>
      <c r="FY29" s="4">
        <v>52</v>
      </c>
      <c r="FZ29">
        <v>0.37</v>
      </c>
      <c r="GA29" s="1">
        <f t="shared" si="33"/>
        <v>7.6067543250696144E+16</v>
      </c>
      <c r="GJ29" s="4">
        <v>52</v>
      </c>
      <c r="GK29">
        <v>0.28079999999999999</v>
      </c>
      <c r="GL29" s="1">
        <f t="shared" si="34"/>
        <v>5.7729097688636432E+16</v>
      </c>
      <c r="GU29" s="4">
        <v>52</v>
      </c>
      <c r="GV29">
        <v>0.29830000000000001</v>
      </c>
      <c r="GW29" s="1">
        <f t="shared" si="35"/>
        <v>6.1326886896439632E+16</v>
      </c>
      <c r="HF29" s="4">
        <v>52</v>
      </c>
      <c r="HG29">
        <v>0.2681</v>
      </c>
      <c r="HH29" s="1">
        <f t="shared" si="36"/>
        <v>5.5118130663544976E+16</v>
      </c>
      <c r="HQ29" s="4">
        <v>52</v>
      </c>
      <c r="HR29">
        <v>0.30880000000000002</v>
      </c>
      <c r="HS29" s="1">
        <f t="shared" si="16"/>
        <v>6.3485560421121552E+16</v>
      </c>
    </row>
    <row r="30" spans="1:227" x14ac:dyDescent="0.35">
      <c r="A30">
        <v>54.5</v>
      </c>
      <c r="B30">
        <v>0.78700000000000003</v>
      </c>
      <c r="C30" s="1">
        <f t="shared" si="0"/>
        <v>1.6179772037377805E+17</v>
      </c>
      <c r="L30" t="s">
        <v>5</v>
      </c>
      <c r="M30" s="1">
        <v>-168100000000000</v>
      </c>
      <c r="Q30">
        <v>58.5</v>
      </c>
      <c r="R30">
        <v>0.82699999999999996</v>
      </c>
      <c r="S30" s="1">
        <f t="shared" si="17"/>
        <v>1.700212385630425E+17</v>
      </c>
      <c r="AB30">
        <v>56.5</v>
      </c>
      <c r="AC30" s="4">
        <v>0.88300000000000001</v>
      </c>
      <c r="AD30" s="1">
        <f t="shared" si="18"/>
        <v>1.8153416402801274E+17</v>
      </c>
      <c r="AM30">
        <v>58.5</v>
      </c>
      <c r="AN30" s="4">
        <v>0.874</v>
      </c>
      <c r="AO30" s="1">
        <f t="shared" si="19"/>
        <v>1.7968387243542822E+17</v>
      </c>
      <c r="AX30">
        <v>54.5</v>
      </c>
      <c r="AY30" s="4">
        <v>0.99099999999999999</v>
      </c>
      <c r="AZ30" s="5">
        <f t="shared" si="20"/>
        <v>2.0373766313902672E+17</v>
      </c>
      <c r="BI30">
        <v>54.5</v>
      </c>
      <c r="BJ30">
        <v>4.1200000000000001E-2</v>
      </c>
      <c r="BK30" s="1">
        <f t="shared" si="22"/>
        <v>8470223734942383</v>
      </c>
      <c r="BT30">
        <v>54</v>
      </c>
      <c r="BV30" s="1">
        <f t="shared" si="23"/>
        <v>0</v>
      </c>
      <c r="CE30">
        <v>54</v>
      </c>
      <c r="CF30">
        <v>0.63700000000000001</v>
      </c>
      <c r="CG30" s="1">
        <f t="shared" si="24"/>
        <v>1.3095952716403637E+17</v>
      </c>
      <c r="CO30">
        <v>54</v>
      </c>
      <c r="CP30">
        <v>0.67200000000000004</v>
      </c>
      <c r="CQ30" s="1">
        <f t="shared" si="25"/>
        <v>1.3815510557964277E+17</v>
      </c>
      <c r="CZ30" s="4">
        <v>54</v>
      </c>
      <c r="DA30">
        <v>0.68799999999999994</v>
      </c>
      <c r="DB30" s="1">
        <f t="shared" si="26"/>
        <v>1.4144451285534851E+17</v>
      </c>
      <c r="DK30" s="4">
        <v>54</v>
      </c>
      <c r="DL30">
        <v>0.622</v>
      </c>
      <c r="DM30" s="1">
        <f t="shared" si="27"/>
        <v>1.2787570784306219E+17</v>
      </c>
      <c r="DV30" s="4">
        <v>54</v>
      </c>
      <c r="DW30">
        <v>0.49</v>
      </c>
      <c r="DX30" s="1">
        <f t="shared" si="28"/>
        <v>1.0073809781848949E+17</v>
      </c>
      <c r="EG30" s="4">
        <v>54</v>
      </c>
      <c r="EH30">
        <v>0.46200000000000002</v>
      </c>
      <c r="EI30" s="1">
        <f t="shared" si="29"/>
        <v>9.4981635086004384E+16</v>
      </c>
      <c r="ER30" s="4">
        <v>54</v>
      </c>
      <c r="ES30">
        <v>0.44500000000000001</v>
      </c>
      <c r="ET30" s="1">
        <f t="shared" si="30"/>
        <v>9.1486639855567008E+16</v>
      </c>
      <c r="FC30" s="4">
        <v>54</v>
      </c>
      <c r="FD30">
        <v>0.35220000000000001</v>
      </c>
      <c r="FE30" s="1">
        <f t="shared" si="31"/>
        <v>7.2408077656473472E+16</v>
      </c>
      <c r="FN30" s="4">
        <v>54</v>
      </c>
      <c r="FO30">
        <v>0.34699999999999998</v>
      </c>
      <c r="FP30" s="1">
        <f t="shared" si="32"/>
        <v>7.1339020291869088E+16</v>
      </c>
      <c r="FY30" s="4">
        <v>54</v>
      </c>
      <c r="FZ30">
        <v>0.36399999999999999</v>
      </c>
      <c r="GA30" s="1">
        <f t="shared" si="33"/>
        <v>7.483401552230648E+16</v>
      </c>
      <c r="GJ30" s="4">
        <v>54</v>
      </c>
      <c r="GK30">
        <v>0.28039999999999998</v>
      </c>
      <c r="GL30" s="1">
        <f t="shared" si="34"/>
        <v>5.7646862506743792E+16</v>
      </c>
      <c r="GU30" s="4">
        <v>54</v>
      </c>
      <c r="GV30">
        <v>0.2964</v>
      </c>
      <c r="GW30" s="1">
        <f t="shared" si="35"/>
        <v>6.0936269782449568E+16</v>
      </c>
      <c r="HF30" s="4">
        <v>54</v>
      </c>
      <c r="HG30">
        <v>0.26600000000000001</v>
      </c>
      <c r="HH30" s="1">
        <f t="shared" si="36"/>
        <v>5.4686395958608584E+16</v>
      </c>
      <c r="HQ30" s="4">
        <v>54</v>
      </c>
      <c r="HR30">
        <v>0.30620000000000003</v>
      </c>
      <c r="HS30" s="1">
        <f t="shared" si="16"/>
        <v>6.2951031738819368E+16</v>
      </c>
    </row>
    <row r="31" spans="1:227" x14ac:dyDescent="0.35">
      <c r="A31">
        <v>56.5</v>
      </c>
      <c r="B31">
        <v>0.78800000000000003</v>
      </c>
      <c r="C31" s="1">
        <f t="shared" si="0"/>
        <v>1.6200330832850966E+17</v>
      </c>
      <c r="L31" t="s">
        <v>8</v>
      </c>
      <c r="M31" s="1">
        <f>(M30*M$3)/O$3</f>
        <v>75948795180722.891</v>
      </c>
      <c r="Q31">
        <v>60.5</v>
      </c>
      <c r="R31">
        <v>0.82299999999999995</v>
      </c>
      <c r="S31" s="1">
        <f t="shared" si="17"/>
        <v>1.6919888674411603E+17</v>
      </c>
      <c r="AB31">
        <v>58.5</v>
      </c>
      <c r="AC31" s="4">
        <v>0.88300000000000001</v>
      </c>
      <c r="AD31" s="1">
        <f t="shared" si="18"/>
        <v>1.8153416402801274E+17</v>
      </c>
      <c r="AM31">
        <v>60.5</v>
      </c>
      <c r="AN31" s="4">
        <v>0.87</v>
      </c>
      <c r="AO31" s="1">
        <f t="shared" si="19"/>
        <v>1.7886152061650176E+17</v>
      </c>
      <c r="AX31">
        <v>56.5</v>
      </c>
      <c r="AY31" s="4">
        <v>0.99</v>
      </c>
      <c r="AZ31" s="5">
        <f t="shared" si="20"/>
        <v>2.0353207518429514E+17</v>
      </c>
      <c r="BI31">
        <v>56.5</v>
      </c>
      <c r="BJ31">
        <v>3.8800000000000001E-2</v>
      </c>
      <c r="BK31" s="1">
        <f t="shared" si="22"/>
        <v>7976812643586516</v>
      </c>
      <c r="BT31">
        <v>56</v>
      </c>
      <c r="BV31" s="1">
        <f t="shared" si="23"/>
        <v>0</v>
      </c>
      <c r="CE31">
        <v>56</v>
      </c>
      <c r="CF31">
        <v>0.63300000000000001</v>
      </c>
      <c r="CG31" s="1">
        <f t="shared" si="24"/>
        <v>1.301371753451099E+17</v>
      </c>
      <c r="CO31">
        <v>56</v>
      </c>
      <c r="CP31">
        <v>0.67300000000000004</v>
      </c>
      <c r="CQ31" s="1">
        <f t="shared" si="25"/>
        <v>1.3836069353437435E+17</v>
      </c>
      <c r="CZ31" s="4">
        <v>56</v>
      </c>
      <c r="DA31">
        <v>0.68899999999999995</v>
      </c>
      <c r="DB31" s="1">
        <f t="shared" si="26"/>
        <v>1.4165010081008013E+17</v>
      </c>
      <c r="DK31" s="4">
        <v>56</v>
      </c>
      <c r="DL31">
        <v>0.621</v>
      </c>
      <c r="DM31" s="1">
        <f t="shared" si="27"/>
        <v>1.2767011988833058E+17</v>
      </c>
      <c r="DV31" s="4">
        <v>56</v>
      </c>
      <c r="DW31">
        <v>0.48399999999999999</v>
      </c>
      <c r="DX31" s="1">
        <f t="shared" si="28"/>
        <v>9.9504570090099824E+16</v>
      </c>
      <c r="EG31" s="4">
        <v>56</v>
      </c>
      <c r="EH31">
        <v>0.45700000000000002</v>
      </c>
      <c r="EI31" s="1">
        <f t="shared" si="29"/>
        <v>9.3953695312346336E+16</v>
      </c>
      <c r="ER31" s="4">
        <v>56</v>
      </c>
      <c r="ES31">
        <v>0.44500000000000001</v>
      </c>
      <c r="ET31" s="1">
        <f t="shared" si="30"/>
        <v>9.1486639855567008E+16</v>
      </c>
      <c r="FC31" s="4">
        <v>56</v>
      </c>
      <c r="FD31">
        <v>0.34689999999999999</v>
      </c>
      <c r="FE31" s="1">
        <f t="shared" si="31"/>
        <v>7.1318461496395936E+16</v>
      </c>
      <c r="FN31" s="4">
        <v>56</v>
      </c>
      <c r="FO31">
        <v>0.34499999999999997</v>
      </c>
      <c r="FP31" s="1">
        <f t="shared" si="32"/>
        <v>7.0927844382405872E+16</v>
      </c>
      <c r="FY31" s="4">
        <v>56</v>
      </c>
      <c r="FZ31">
        <v>0.36299999999999999</v>
      </c>
      <c r="GA31" s="1">
        <f t="shared" si="33"/>
        <v>7.462842756757488E+16</v>
      </c>
      <c r="GJ31" s="4">
        <v>56</v>
      </c>
      <c r="GK31">
        <v>0.27729999999999999</v>
      </c>
      <c r="GL31" s="1">
        <f t="shared" si="34"/>
        <v>5.7009539847075784E+16</v>
      </c>
      <c r="GU31" s="4">
        <v>56</v>
      </c>
      <c r="GV31">
        <v>0.29480000000000001</v>
      </c>
      <c r="GW31" s="1">
        <f>(LN(10)*GV31)/GX$1</f>
        <v>6.0607329054878992E+16</v>
      </c>
      <c r="HF31" s="4">
        <v>56</v>
      </c>
      <c r="HG31">
        <v>0.26500000000000001</v>
      </c>
      <c r="HH31" s="1">
        <f>(LN(10)*HG31)/HI$1</f>
        <v>5.4480808003876984E+16</v>
      </c>
      <c r="HQ31" s="4">
        <v>56</v>
      </c>
      <c r="HR31">
        <v>0.30549999999999999</v>
      </c>
      <c r="HS31" s="1">
        <f>(LN(10)*HR31)/HT$1</f>
        <v>6.2807120170507232E+16</v>
      </c>
    </row>
    <row r="32" spans="1:227" x14ac:dyDescent="0.35">
      <c r="A32">
        <v>58.5</v>
      </c>
      <c r="B32">
        <v>0.78600000000000003</v>
      </c>
      <c r="C32" s="1">
        <f t="shared" si="0"/>
        <v>1.6159213241904643E+17</v>
      </c>
      <c r="L32" s="8" t="s">
        <v>38</v>
      </c>
      <c r="M32" s="8"/>
      <c r="Q32">
        <v>62.5</v>
      </c>
      <c r="R32">
        <v>0.82399999999999995</v>
      </c>
      <c r="S32" s="1">
        <f t="shared" si="17"/>
        <v>1.6940447469884765E+17</v>
      </c>
      <c r="AB32">
        <v>60.5</v>
      </c>
      <c r="AC32" s="4">
        <v>0.88100000000000001</v>
      </c>
      <c r="AD32" s="1">
        <f t="shared" si="18"/>
        <v>1.811229881185495E+17</v>
      </c>
      <c r="AM32">
        <v>64.5</v>
      </c>
      <c r="AN32" s="4">
        <v>0.873</v>
      </c>
      <c r="AO32" s="1">
        <f t="shared" si="19"/>
        <v>1.7947828448069658E+17</v>
      </c>
      <c r="AX32">
        <v>60.5</v>
      </c>
      <c r="AY32" s="4">
        <v>0.98699999999999999</v>
      </c>
      <c r="AZ32" s="5">
        <f t="shared" si="20"/>
        <v>2.0291531132010026E+17</v>
      </c>
      <c r="BI32">
        <v>58.5</v>
      </c>
      <c r="BJ32">
        <v>3.5999999999999997E-2</v>
      </c>
      <c r="BK32" s="1">
        <f t="shared" si="22"/>
        <v>7401166370338004</v>
      </c>
      <c r="BT32">
        <v>58</v>
      </c>
      <c r="BV32" s="1">
        <f t="shared" si="23"/>
        <v>0</v>
      </c>
      <c r="CE32">
        <v>58</v>
      </c>
      <c r="CF32">
        <v>0.63200000000000001</v>
      </c>
      <c r="CG32" s="1">
        <f t="shared" si="24"/>
        <v>1.2993158739037829E+17</v>
      </c>
      <c r="CO32">
        <v>58</v>
      </c>
      <c r="CP32">
        <v>0.66600000000000004</v>
      </c>
      <c r="CQ32" s="1">
        <f t="shared" si="25"/>
        <v>1.3692157785125307E+17</v>
      </c>
      <c r="CZ32" s="4">
        <v>58</v>
      </c>
      <c r="DA32">
        <v>0.68799999999999994</v>
      </c>
      <c r="DB32" s="1">
        <f t="shared" si="26"/>
        <v>1.4144451285534851E+17</v>
      </c>
      <c r="DK32" s="4">
        <v>58</v>
      </c>
      <c r="DL32">
        <v>0.62</v>
      </c>
      <c r="DM32" s="1">
        <f t="shared" si="27"/>
        <v>1.2746453193359896E+17</v>
      </c>
      <c r="DV32" s="4">
        <v>58</v>
      </c>
      <c r="DW32">
        <v>0.48099999999999998</v>
      </c>
      <c r="DX32" s="1">
        <f t="shared" si="28"/>
        <v>9.8887806225905008E+16</v>
      </c>
      <c r="EG32" s="4">
        <v>58</v>
      </c>
      <c r="EH32">
        <v>0.45300000000000001</v>
      </c>
      <c r="EI32" s="1">
        <f t="shared" si="29"/>
        <v>9.3131343493419888E+16</v>
      </c>
      <c r="ER32" s="4">
        <v>58</v>
      </c>
      <c r="ES32">
        <v>0.442</v>
      </c>
      <c r="ET32" s="1">
        <f t="shared" si="30"/>
        <v>9.086987599137216E+16</v>
      </c>
      <c r="FC32" s="4">
        <v>58</v>
      </c>
      <c r="FD32">
        <v>0.34849999999999998</v>
      </c>
      <c r="FE32" s="1">
        <f t="shared" si="31"/>
        <v>7.1647402223966512E+16</v>
      </c>
      <c r="FN32" s="4">
        <v>58</v>
      </c>
      <c r="FO32">
        <v>0.34599999999999997</v>
      </c>
      <c r="FP32" s="1">
        <f t="shared" si="32"/>
        <v>7.1133432337137488E+16</v>
      </c>
      <c r="FY32" s="4">
        <v>58</v>
      </c>
      <c r="FZ32">
        <v>0.36399999999999999</v>
      </c>
      <c r="GA32" s="1">
        <f t="shared" si="33"/>
        <v>7.483401552230648E+16</v>
      </c>
      <c r="GJ32" s="4">
        <v>58</v>
      </c>
      <c r="GK32">
        <v>0.27360000000000001</v>
      </c>
      <c r="GL32" s="1">
        <f t="shared" si="34"/>
        <v>5.6248864414568832E+16</v>
      </c>
      <c r="GU32" s="4">
        <v>58</v>
      </c>
      <c r="GV32">
        <v>0.29360000000000003</v>
      </c>
      <c r="GW32" s="1">
        <f>(LN(10)*GV32)/GX$1</f>
        <v>6.0360623509201056E+16</v>
      </c>
      <c r="HF32" s="4">
        <v>58</v>
      </c>
      <c r="HG32">
        <v>0.26479999999999998</v>
      </c>
      <c r="HH32" s="1">
        <f>(LN(10)*HG32)/HI$1</f>
        <v>5.4439690412930648E+16</v>
      </c>
      <c r="HQ32" s="4">
        <v>58</v>
      </c>
      <c r="HR32">
        <v>0.30180000000000001</v>
      </c>
      <c r="HS32" s="1">
        <f>(LN(10)*HR32)/HT$1</f>
        <v>6.2046444738000272E+16</v>
      </c>
    </row>
    <row r="33" spans="1:227" x14ac:dyDescent="0.35">
      <c r="A33">
        <v>60.5</v>
      </c>
      <c r="B33">
        <v>0.78400000000000003</v>
      </c>
      <c r="C33" s="1">
        <f t="shared" si="0"/>
        <v>1.611809565095832E+17</v>
      </c>
      <c r="L33" t="s">
        <v>5</v>
      </c>
      <c r="M33" s="1">
        <v>-178100000000000</v>
      </c>
      <c r="Q33">
        <v>64.5</v>
      </c>
      <c r="R33">
        <v>0.82099999999999995</v>
      </c>
      <c r="S33" s="1">
        <f t="shared" si="17"/>
        <v>1.687877108346528E+17</v>
      </c>
      <c r="AB33">
        <v>62.5</v>
      </c>
      <c r="AC33" s="4">
        <v>0.878</v>
      </c>
      <c r="AD33" s="1">
        <f t="shared" si="18"/>
        <v>1.8050622425435469E+17</v>
      </c>
      <c r="AM33">
        <v>66.5</v>
      </c>
      <c r="AN33" s="4">
        <v>0.86899999999999999</v>
      </c>
      <c r="AO33" s="1">
        <f t="shared" si="19"/>
        <v>1.7865593266177018E+17</v>
      </c>
      <c r="AX33">
        <v>62.5</v>
      </c>
      <c r="AY33" s="4">
        <v>0.98399999999999999</v>
      </c>
      <c r="AZ33" s="5">
        <f>(LN(10)*AY33)/BA$1</f>
        <v>2.0229854745590544E+17</v>
      </c>
      <c r="BI33">
        <v>60.5</v>
      </c>
      <c r="BJ33">
        <v>3.6600000000000001E-2</v>
      </c>
      <c r="BK33" s="1">
        <f t="shared" si="22"/>
        <v>7524519143176971</v>
      </c>
      <c r="BL33">
        <f>(BK3-BK33)/1000000000000000</f>
        <v>18.009504834489142</v>
      </c>
      <c r="BT33">
        <v>60</v>
      </c>
      <c r="BV33" s="1">
        <f t="shared" si="23"/>
        <v>0</v>
      </c>
      <c r="BW33">
        <f>(BV3-BV33)/1000000000000000</f>
        <v>33.346366257467345</v>
      </c>
      <c r="CE33">
        <v>60</v>
      </c>
      <c r="CF33">
        <v>0.63100000000000001</v>
      </c>
      <c r="CG33" s="1">
        <f t="shared" si="24"/>
        <v>1.297259994356467E+17</v>
      </c>
      <c r="CH33">
        <f>(CG3-CG33)/1000000000000000</f>
        <v>15.213508650139216</v>
      </c>
      <c r="CO33">
        <v>60</v>
      </c>
      <c r="CP33">
        <v>0.66800000000000004</v>
      </c>
      <c r="CQ33" s="1">
        <f t="shared" si="25"/>
        <v>1.373327537607163E+17</v>
      </c>
      <c r="CZ33" s="4">
        <v>60</v>
      </c>
      <c r="DA33">
        <v>0.68700000000000006</v>
      </c>
      <c r="DB33" s="1">
        <f t="shared" si="26"/>
        <v>1.4123892490061691E+17</v>
      </c>
      <c r="DC33">
        <f>(DB3-DB33)/1000000000000000</f>
        <v>9.0458700081908958</v>
      </c>
      <c r="DK33" s="4">
        <v>60</v>
      </c>
      <c r="DL33">
        <v>0.62</v>
      </c>
      <c r="DM33" s="1">
        <f t="shared" si="27"/>
        <v>1.2746453193359896E+17</v>
      </c>
      <c r="DN33">
        <f>(DM3-DM33)/1000000000000000</f>
        <v>10.279397736580576</v>
      </c>
      <c r="DV33" s="4">
        <v>60</v>
      </c>
      <c r="DW33">
        <v>0.48299999999999998</v>
      </c>
      <c r="DX33" s="1">
        <f t="shared" si="28"/>
        <v>9.9298982135368208E+16</v>
      </c>
      <c r="DY33">
        <f>(DX3-DX33)/1000000000000000</f>
        <v>12.540865238628321</v>
      </c>
      <c r="EG33" s="4">
        <v>60</v>
      </c>
      <c r="EH33">
        <v>0.45300000000000001</v>
      </c>
      <c r="EI33" s="1">
        <f t="shared" si="29"/>
        <v>9.3131343493419888E+16</v>
      </c>
      <c r="ER33" s="4">
        <v>60</v>
      </c>
      <c r="ES33">
        <v>0.439</v>
      </c>
      <c r="ET33" s="1">
        <f t="shared" si="30"/>
        <v>9.0253112127177344E+16</v>
      </c>
      <c r="FC33" s="4">
        <v>60</v>
      </c>
      <c r="FD33">
        <v>0.34489999999999998</v>
      </c>
      <c r="FE33" s="1">
        <f t="shared" si="31"/>
        <v>7.0907285586932712E+16</v>
      </c>
      <c r="FN33" s="4">
        <v>60</v>
      </c>
      <c r="FO33">
        <v>0.34100000000000003</v>
      </c>
      <c r="FP33" s="1">
        <f t="shared" si="32"/>
        <v>7.0105492563479432E+16</v>
      </c>
      <c r="FY33" s="4">
        <v>60</v>
      </c>
      <c r="FZ33">
        <v>0.35899999999999999</v>
      </c>
      <c r="GA33" s="1">
        <f t="shared" si="33"/>
        <v>7.3806075748648432E+16</v>
      </c>
      <c r="GJ33" s="4">
        <v>60</v>
      </c>
      <c r="GK33">
        <v>0.27089999999999997</v>
      </c>
      <c r="GL33" s="1">
        <f t="shared" si="34"/>
        <v>5.569377693679348E+16</v>
      </c>
      <c r="GU33" s="4">
        <v>60</v>
      </c>
      <c r="GV33">
        <v>0.29110000000000003</v>
      </c>
      <c r="GW33" s="1">
        <f t="shared" si="35"/>
        <v>5.9846653622372032E+16</v>
      </c>
      <c r="HF33" s="4">
        <v>60</v>
      </c>
      <c r="HG33">
        <v>0.26300000000000001</v>
      </c>
      <c r="HH33" s="1">
        <f t="shared" ref="HH33" si="37">(LN(10)*HG33)/HI$1</f>
        <v>5.4069632094413752E+16</v>
      </c>
      <c r="HQ33" s="4">
        <v>60</v>
      </c>
      <c r="HR33">
        <v>0.30209999999999998</v>
      </c>
      <c r="HS33" s="1">
        <f t="shared" ref="HS33" si="38">(LN(10)*HR33)/HT$1</f>
        <v>6.2108121124419752E+16</v>
      </c>
    </row>
    <row r="34" spans="1:227" x14ac:dyDescent="0.35">
      <c r="A34">
        <v>62.5</v>
      </c>
      <c r="B34">
        <v>0.78300000000000003</v>
      </c>
      <c r="C34" s="1">
        <f t="shared" si="0"/>
        <v>1.6097536855485158E+17</v>
      </c>
      <c r="L34" t="s">
        <v>8</v>
      </c>
      <c r="M34" s="1">
        <f>(M33*M$3)/O$3</f>
        <v>80466867469879.516</v>
      </c>
      <c r="Q34">
        <v>66.5</v>
      </c>
      <c r="R34">
        <v>0.82199999999999995</v>
      </c>
      <c r="S34" s="1">
        <f t="shared" si="17"/>
        <v>1.6899329878938442E+17</v>
      </c>
      <c r="AB34">
        <v>64.5</v>
      </c>
      <c r="AC34" s="4">
        <v>0.879</v>
      </c>
      <c r="AD34" s="1">
        <f t="shared" si="18"/>
        <v>1.8071181220908627E+17</v>
      </c>
      <c r="AM34">
        <v>68.5</v>
      </c>
      <c r="AN34" s="4">
        <v>0.873</v>
      </c>
      <c r="AO34" s="1">
        <f t="shared" si="19"/>
        <v>1.7947828448069658E+17</v>
      </c>
      <c r="AX34">
        <v>64.5</v>
      </c>
      <c r="AY34" s="4">
        <v>0.97899999999999998</v>
      </c>
      <c r="AZ34" s="5">
        <f>(LN(10)*AY34)/BA$1</f>
        <v>2.0127060768224739E+17</v>
      </c>
      <c r="BK34" s="1"/>
      <c r="CO34">
        <v>62</v>
      </c>
      <c r="CP34">
        <v>0.66</v>
      </c>
      <c r="CQ34" s="1">
        <f t="shared" si="25"/>
        <v>1.3568805012286341E+17</v>
      </c>
      <c r="FC34" s="4">
        <v>62</v>
      </c>
      <c r="FD34">
        <v>0.33960000000000001</v>
      </c>
      <c r="FE34" s="1">
        <f t="shared" si="31"/>
        <v>6.9817669426855176E+16</v>
      </c>
    </row>
    <row r="35" spans="1:227" x14ac:dyDescent="0.35">
      <c r="A35">
        <v>64.5</v>
      </c>
      <c r="B35">
        <v>0.78300000000000003</v>
      </c>
      <c r="C35" s="1">
        <f t="shared" si="0"/>
        <v>1.6097536855485158E+17</v>
      </c>
      <c r="L35" s="8" t="s">
        <v>39</v>
      </c>
      <c r="M35" s="8"/>
      <c r="Q35">
        <v>68.5</v>
      </c>
      <c r="R35">
        <v>0.82099999999999995</v>
      </c>
      <c r="S35" s="1">
        <f t="shared" si="17"/>
        <v>1.687877108346528E+17</v>
      </c>
      <c r="AB35">
        <v>66.5</v>
      </c>
      <c r="AC35" s="4">
        <v>0.879</v>
      </c>
      <c r="AD35" s="1">
        <f t="shared" si="18"/>
        <v>1.8071181220908627E+17</v>
      </c>
      <c r="AM35">
        <v>70.5</v>
      </c>
      <c r="AN35" s="4">
        <v>0.873</v>
      </c>
      <c r="AO35" s="1">
        <f t="shared" si="19"/>
        <v>1.7947828448069658E+17</v>
      </c>
      <c r="AX35" s="3">
        <v>66.5</v>
      </c>
      <c r="AY35" s="4">
        <v>0.97899999999999998</v>
      </c>
      <c r="AZ35" s="5">
        <f t="shared" si="20"/>
        <v>2.0127060768224739E+17</v>
      </c>
      <c r="BK35" s="1"/>
      <c r="CO35">
        <v>64</v>
      </c>
      <c r="CP35">
        <v>0.66</v>
      </c>
      <c r="CQ35" s="1">
        <f t="shared" si="25"/>
        <v>1.3568805012286341E+17</v>
      </c>
      <c r="FC35" s="4">
        <v>64</v>
      </c>
      <c r="FD35">
        <v>0.34329999999999999</v>
      </c>
      <c r="FE35" s="1">
        <f t="shared" si="31"/>
        <v>7.0578344859362136E+16</v>
      </c>
    </row>
    <row r="36" spans="1:227" x14ac:dyDescent="0.35">
      <c r="A36">
        <v>66.5</v>
      </c>
      <c r="B36">
        <v>0.78100000000000003</v>
      </c>
      <c r="C36" s="1">
        <f>(LN(10)*B36)/D$1</f>
        <v>1.6056419264538838E+17</v>
      </c>
      <c r="L36" t="s">
        <v>5</v>
      </c>
      <c r="M36" s="1">
        <v>-207500000000000</v>
      </c>
      <c r="Q36">
        <v>70.5</v>
      </c>
      <c r="R36">
        <v>0.82199999999999995</v>
      </c>
      <c r="S36" s="1">
        <f t="shared" si="17"/>
        <v>1.6899329878938442E+17</v>
      </c>
      <c r="AB36">
        <v>68.5</v>
      </c>
      <c r="AC36" s="4">
        <v>0.874</v>
      </c>
      <c r="AD36" s="1">
        <f t="shared" si="18"/>
        <v>1.7968387243542822E+17</v>
      </c>
      <c r="AM36">
        <v>72.5</v>
      </c>
      <c r="AN36" s="4">
        <v>0.87</v>
      </c>
      <c r="AO36" s="1">
        <f t="shared" si="19"/>
        <v>1.7886152061650176E+17</v>
      </c>
      <c r="AX36">
        <v>68.5</v>
      </c>
      <c r="AY36" s="4">
        <v>0.97599999999999998</v>
      </c>
      <c r="AZ36" s="5">
        <f t="shared" si="20"/>
        <v>2.0065384381805258E+17</v>
      </c>
      <c r="BK36" s="1"/>
      <c r="CO36">
        <v>66</v>
      </c>
      <c r="CP36">
        <v>0.65900000000000003</v>
      </c>
      <c r="CQ36" s="1">
        <f t="shared" si="25"/>
        <v>1.3548246216813182E+17</v>
      </c>
      <c r="FC36" s="4">
        <v>66</v>
      </c>
      <c r="FD36">
        <v>0.33900000000000002</v>
      </c>
      <c r="FE36" s="1">
        <f t="shared" si="31"/>
        <v>6.9694316654016216E+16</v>
      </c>
    </row>
    <row r="37" spans="1:227" x14ac:dyDescent="0.35">
      <c r="A37">
        <v>68.5</v>
      </c>
      <c r="B37">
        <v>0.78100000000000003</v>
      </c>
      <c r="C37" s="1">
        <f t="shared" si="0"/>
        <v>1.6056419264538838E+17</v>
      </c>
      <c r="L37" t="s">
        <v>8</v>
      </c>
      <c r="M37" s="1">
        <f>(M36*M$3)/O$3</f>
        <v>93750000000000</v>
      </c>
      <c r="Q37">
        <v>72.5</v>
      </c>
      <c r="R37">
        <v>0.82199999999999995</v>
      </c>
      <c r="S37" s="1">
        <f t="shared" si="17"/>
        <v>1.6899329878938442E+17</v>
      </c>
      <c r="AB37">
        <v>70.5</v>
      </c>
      <c r="AC37" s="4">
        <v>0.871</v>
      </c>
      <c r="AD37" s="1">
        <f t="shared" si="18"/>
        <v>1.7906710857123341E+17</v>
      </c>
      <c r="AM37">
        <v>74.5</v>
      </c>
      <c r="AN37" s="4">
        <v>0.87</v>
      </c>
      <c r="AO37" s="1">
        <f t="shared" si="19"/>
        <v>1.7886152061650176E+17</v>
      </c>
      <c r="AX37">
        <v>70.5</v>
      </c>
      <c r="AY37" s="4">
        <v>0.97499999999999998</v>
      </c>
      <c r="AZ37" s="5">
        <f t="shared" si="20"/>
        <v>2.0044825586332093E+17</v>
      </c>
      <c r="BK37" s="1"/>
      <c r="CO37">
        <v>68</v>
      </c>
      <c r="CP37">
        <v>0.65800000000000003</v>
      </c>
      <c r="CQ37" s="1">
        <f t="shared" si="25"/>
        <v>1.3527687421340021E+17</v>
      </c>
      <c r="FC37" s="4">
        <v>68</v>
      </c>
      <c r="FD37">
        <v>0.3372</v>
      </c>
      <c r="FE37" s="1">
        <f t="shared" si="31"/>
        <v>6.9324258335499312E+16</v>
      </c>
    </row>
    <row r="38" spans="1:227" x14ac:dyDescent="0.35">
      <c r="A38">
        <v>70.5</v>
      </c>
      <c r="B38">
        <v>0.77900000000000003</v>
      </c>
      <c r="C38" s="1">
        <f t="shared" si="0"/>
        <v>1.6015301673592515E+17</v>
      </c>
      <c r="L38" s="8" t="s">
        <v>42</v>
      </c>
      <c r="M38" s="8"/>
      <c r="Q38">
        <v>74.5</v>
      </c>
      <c r="R38">
        <v>0.82299999999999995</v>
      </c>
      <c r="S38" s="1">
        <f t="shared" si="17"/>
        <v>1.6919888674411603E+17</v>
      </c>
      <c r="AB38">
        <v>75</v>
      </c>
      <c r="AC38" s="4">
        <v>0.872</v>
      </c>
      <c r="AD38" s="1">
        <f>(LN(10)*AC38)/AE$1</f>
        <v>1.7927269652596499E+17</v>
      </c>
      <c r="AM38">
        <v>76.5</v>
      </c>
      <c r="AN38" s="4">
        <v>0.86699999999999999</v>
      </c>
      <c r="AO38" s="1">
        <f>(LN(10)*AN38)/AP$1</f>
        <v>1.7824475675230694E+17</v>
      </c>
      <c r="AX38">
        <v>72.5</v>
      </c>
      <c r="AY38" s="4">
        <v>0.97399999999999998</v>
      </c>
      <c r="AZ38" s="5">
        <f t="shared" si="20"/>
        <v>2.0024266790858934E+17</v>
      </c>
      <c r="BK38" s="1"/>
      <c r="CO38">
        <v>70</v>
      </c>
      <c r="CP38">
        <v>0.65400000000000003</v>
      </c>
      <c r="CQ38" s="1">
        <f t="shared" si="25"/>
        <v>1.3445452239447374E+17</v>
      </c>
      <c r="CR38">
        <f>(CQ3-CQ38)/1000000000000000</f>
        <v>16.035860469065678</v>
      </c>
      <c r="FC38" s="4">
        <v>70.5</v>
      </c>
      <c r="FD38">
        <v>0.33350000000000002</v>
      </c>
      <c r="FE38" s="1">
        <f t="shared" si="31"/>
        <v>6.8563582902992344E+16</v>
      </c>
    </row>
    <row r="39" spans="1:227" x14ac:dyDescent="0.35">
      <c r="A39">
        <v>72.5</v>
      </c>
      <c r="B39">
        <v>0.77800000000000002</v>
      </c>
      <c r="C39" s="1">
        <f t="shared" si="0"/>
        <v>1.5994742878119354E+17</v>
      </c>
      <c r="L39" t="s">
        <v>5</v>
      </c>
      <c r="M39" s="1">
        <v>-175400000000000</v>
      </c>
      <c r="Q39">
        <v>76.5</v>
      </c>
      <c r="R39">
        <v>0.82299999999999995</v>
      </c>
      <c r="S39" s="1">
        <f t="shared" si="17"/>
        <v>1.6919888674411603E+17</v>
      </c>
      <c r="AB39">
        <v>78.5</v>
      </c>
      <c r="AC39" s="4">
        <v>0.86599999999999999</v>
      </c>
      <c r="AD39" s="1">
        <f t="shared" si="18"/>
        <v>1.7803916879757533E+17</v>
      </c>
      <c r="AM39">
        <v>78.5</v>
      </c>
      <c r="AN39" s="4">
        <v>0.86599999999999999</v>
      </c>
      <c r="AO39" s="1">
        <f t="shared" si="19"/>
        <v>1.7803916879757533E+17</v>
      </c>
      <c r="AX39">
        <v>74.5</v>
      </c>
      <c r="AY39" s="4">
        <v>0.97299999999999998</v>
      </c>
      <c r="AZ39" s="5">
        <f t="shared" si="20"/>
        <v>2.000370799538577E+17</v>
      </c>
      <c r="BK39" s="1"/>
    </row>
    <row r="40" spans="1:227" x14ac:dyDescent="0.35">
      <c r="A40">
        <v>74.5</v>
      </c>
      <c r="B40">
        <v>0.77900000000000003</v>
      </c>
      <c r="C40" s="1">
        <f t="shared" si="0"/>
        <v>1.6015301673592515E+17</v>
      </c>
      <c r="L40" t="s">
        <v>8</v>
      </c>
      <c r="M40" s="1">
        <f>(M39*M$3)/O$3</f>
        <v>79246987951807.219</v>
      </c>
      <c r="Q40">
        <v>78.5</v>
      </c>
      <c r="R40">
        <v>0.82299999999999995</v>
      </c>
      <c r="S40" s="1">
        <f t="shared" si="17"/>
        <v>1.6919888674411603E+17</v>
      </c>
      <c r="AB40">
        <v>80.5</v>
      </c>
      <c r="AC40" s="4">
        <v>0.86599999999999999</v>
      </c>
      <c r="AD40" s="1">
        <f t="shared" si="18"/>
        <v>1.7803916879757533E+17</v>
      </c>
      <c r="AM40">
        <v>80.5</v>
      </c>
      <c r="AN40" s="4">
        <v>0.86599999999999999</v>
      </c>
      <c r="AO40" s="1">
        <f t="shared" si="19"/>
        <v>1.7803916879757533E+17</v>
      </c>
      <c r="AX40">
        <v>76.5</v>
      </c>
      <c r="AY40" s="4">
        <v>0.96599999999999997</v>
      </c>
      <c r="AZ40" s="5">
        <f t="shared" si="20"/>
        <v>1.9859796427073642E+17</v>
      </c>
      <c r="BK40" s="1"/>
    </row>
    <row r="41" spans="1:227" x14ac:dyDescent="0.35">
      <c r="A41">
        <v>76.5</v>
      </c>
      <c r="B41">
        <v>0.77800000000000002</v>
      </c>
      <c r="C41" s="1">
        <f t="shared" si="0"/>
        <v>1.5994742878119354E+17</v>
      </c>
      <c r="L41" s="8" t="s">
        <v>43</v>
      </c>
      <c r="M41" s="8"/>
      <c r="Q41">
        <v>80.5</v>
      </c>
      <c r="R41">
        <v>0.82299999999999995</v>
      </c>
      <c r="S41" s="1">
        <f t="shared" si="17"/>
        <v>1.6919888674411603E+17</v>
      </c>
      <c r="AB41">
        <v>82.5</v>
      </c>
      <c r="AC41" s="4">
        <v>0.86399999999999999</v>
      </c>
      <c r="AD41" s="1">
        <f t="shared" si="18"/>
        <v>1.776279928881121E+17</v>
      </c>
      <c r="AM41">
        <v>82.5</v>
      </c>
      <c r="AN41" s="4">
        <v>0.86599999999999999</v>
      </c>
      <c r="AO41" s="1">
        <f t="shared" si="19"/>
        <v>1.7803916879757533E+17</v>
      </c>
      <c r="AX41">
        <v>78.5</v>
      </c>
      <c r="AY41" s="4">
        <v>0.96899999999999997</v>
      </c>
      <c r="AZ41" s="5">
        <f t="shared" si="20"/>
        <v>1.992147281349313E+17</v>
      </c>
      <c r="BK41" s="1"/>
    </row>
    <row r="42" spans="1:227" x14ac:dyDescent="0.35">
      <c r="A42">
        <v>78.5</v>
      </c>
      <c r="B42">
        <v>0.77700000000000002</v>
      </c>
      <c r="C42" s="1">
        <f t="shared" si="0"/>
        <v>1.5974184082646192E+17</v>
      </c>
      <c r="L42" t="s">
        <v>5</v>
      </c>
      <c r="M42" s="1">
        <v>-235100000000000</v>
      </c>
      <c r="Q42">
        <v>82.5</v>
      </c>
      <c r="R42">
        <v>0.82299999999999995</v>
      </c>
      <c r="S42" s="1">
        <f t="shared" si="17"/>
        <v>1.6919888674411603E+17</v>
      </c>
      <c r="AB42">
        <v>84.5</v>
      </c>
      <c r="AC42" s="4">
        <v>0.86299999999999999</v>
      </c>
      <c r="AD42" s="1">
        <f t="shared" si="18"/>
        <v>1.7742240493338048E+17</v>
      </c>
      <c r="AM42">
        <v>84.5</v>
      </c>
      <c r="AN42" s="4">
        <v>0.86499999999999999</v>
      </c>
      <c r="AO42" s="1">
        <f t="shared" si="19"/>
        <v>1.7783358084284371E+17</v>
      </c>
      <c r="AX42">
        <v>80.5</v>
      </c>
      <c r="AY42" s="4">
        <v>0.96699999999999997</v>
      </c>
      <c r="AZ42" s="5">
        <f t="shared" si="20"/>
        <v>1.9880355222546806E+17</v>
      </c>
      <c r="BK42" s="1"/>
    </row>
    <row r="43" spans="1:227" x14ac:dyDescent="0.35">
      <c r="A43">
        <v>80.5</v>
      </c>
      <c r="B43">
        <v>0.77700000000000002</v>
      </c>
      <c r="C43" s="1">
        <f t="shared" si="0"/>
        <v>1.5974184082646192E+17</v>
      </c>
      <c r="L43" t="s">
        <v>8</v>
      </c>
      <c r="M43" s="1">
        <f>(M42*M$3)/O$3</f>
        <v>106219879518072.3</v>
      </c>
      <c r="Q43">
        <v>84.5</v>
      </c>
      <c r="R43">
        <v>0.82199999999999995</v>
      </c>
      <c r="S43" s="1">
        <f t="shared" si="17"/>
        <v>1.6899329878938442E+17</v>
      </c>
      <c r="AB43">
        <v>86.5</v>
      </c>
      <c r="AC43" s="4">
        <v>0.86099999999999999</v>
      </c>
      <c r="AD43" s="1">
        <f t="shared" si="18"/>
        <v>1.7701122902391728E+17</v>
      </c>
      <c r="AM43">
        <v>86.5</v>
      </c>
      <c r="AN43" s="4">
        <v>0.86299999999999999</v>
      </c>
      <c r="AO43" s="1">
        <f t="shared" si="19"/>
        <v>1.7742240493338048E+17</v>
      </c>
      <c r="AX43">
        <v>82.5</v>
      </c>
      <c r="AY43" s="4">
        <v>0.96399999999999997</v>
      </c>
      <c r="AZ43" s="5">
        <f t="shared" si="20"/>
        <v>1.9818678836127325E+17</v>
      </c>
      <c r="BK43" s="1"/>
    </row>
    <row r="44" spans="1:227" x14ac:dyDescent="0.35">
      <c r="A44">
        <v>82.5</v>
      </c>
      <c r="B44">
        <v>0.77400000000000002</v>
      </c>
      <c r="C44" s="1">
        <f t="shared" si="0"/>
        <v>1.591250769622671E+17</v>
      </c>
      <c r="L44" s="8" t="s">
        <v>48</v>
      </c>
      <c r="M44" s="8"/>
      <c r="Q44">
        <v>86.5</v>
      </c>
      <c r="R44">
        <v>0.82399999999999995</v>
      </c>
      <c r="S44" s="1">
        <f t="shared" si="17"/>
        <v>1.6940447469884765E+17</v>
      </c>
      <c r="AB44">
        <v>88.5</v>
      </c>
      <c r="AC44" s="4">
        <v>0.86199999999999999</v>
      </c>
      <c r="AD44" s="1">
        <f t="shared" si="18"/>
        <v>1.7721681697864886E+17</v>
      </c>
      <c r="AM44">
        <v>88.5</v>
      </c>
      <c r="AN44" s="4">
        <v>0.86</v>
      </c>
      <c r="AO44" s="1">
        <f t="shared" si="19"/>
        <v>1.7680564106918566E+17</v>
      </c>
      <c r="AX44">
        <v>84.5</v>
      </c>
      <c r="AY44" s="4">
        <v>0.96299999999999997</v>
      </c>
      <c r="AZ44" s="5">
        <f t="shared" si="20"/>
        <v>1.979812004065416E+17</v>
      </c>
      <c r="BK44" s="1"/>
    </row>
    <row r="45" spans="1:227" x14ac:dyDescent="0.35">
      <c r="A45">
        <v>84.5</v>
      </c>
      <c r="B45">
        <v>0.77300000000000002</v>
      </c>
      <c r="C45" s="1">
        <f t="shared" si="0"/>
        <v>1.5891948900753549E+17</v>
      </c>
      <c r="L45" t="s">
        <v>5</v>
      </c>
      <c r="M45" s="1">
        <v>-207900000000000</v>
      </c>
      <c r="Q45">
        <v>88.5</v>
      </c>
      <c r="R45">
        <v>0.82299999999999995</v>
      </c>
      <c r="S45" s="1">
        <f t="shared" si="17"/>
        <v>1.6919888674411603E+17</v>
      </c>
      <c r="AB45">
        <v>90.5</v>
      </c>
      <c r="AC45" s="4">
        <v>0.85799999999999998</v>
      </c>
      <c r="AD45" s="1">
        <f>(LN(10)*AC45)/AE$1</f>
        <v>1.7639446515972243E+17</v>
      </c>
      <c r="AM45">
        <v>90</v>
      </c>
      <c r="AN45" s="4">
        <v>0.86299999999999999</v>
      </c>
      <c r="AO45" s="1">
        <f t="shared" si="19"/>
        <v>1.7742240493338048E+17</v>
      </c>
      <c r="AX45">
        <v>86.5</v>
      </c>
      <c r="AY45" s="4">
        <v>0.95899999999999996</v>
      </c>
      <c r="AZ45" s="5">
        <f>(LN(10)*AY45)/BA$1</f>
        <v>1.9715884858761517E+17</v>
      </c>
      <c r="BK45" s="1"/>
    </row>
    <row r="46" spans="1:227" x14ac:dyDescent="0.35">
      <c r="A46">
        <v>86.5</v>
      </c>
      <c r="B46">
        <v>0.77400000000000002</v>
      </c>
      <c r="C46" s="1">
        <f>(LN(10)*B46)/D$1</f>
        <v>1.591250769622671E+17</v>
      </c>
      <c r="L46" t="s">
        <v>8</v>
      </c>
      <c r="M46" s="1">
        <f>(M45*M$3)/O$3</f>
        <v>93930722891566.266</v>
      </c>
      <c r="Q46">
        <v>90</v>
      </c>
      <c r="R46">
        <v>0.82299999999999995</v>
      </c>
      <c r="S46" s="1">
        <f t="shared" si="17"/>
        <v>1.6919888674411603E+17</v>
      </c>
      <c r="AX46">
        <v>88.5</v>
      </c>
      <c r="AY46" s="4">
        <v>0.95799999999999996</v>
      </c>
      <c r="AZ46" s="5">
        <f>(LN(10)*AY46)/BA$1</f>
        <v>1.9695326063288355E+17</v>
      </c>
      <c r="BK46" s="1"/>
    </row>
    <row r="47" spans="1:227" x14ac:dyDescent="0.35">
      <c r="A47">
        <v>88.5</v>
      </c>
      <c r="B47">
        <v>0.77300000000000002</v>
      </c>
      <c r="C47" s="1">
        <f t="shared" si="0"/>
        <v>1.5891948900753549E+17</v>
      </c>
      <c r="L47" s="8" t="s">
        <v>50</v>
      </c>
      <c r="M47" s="8"/>
      <c r="AX47">
        <v>90</v>
      </c>
      <c r="AY47" s="4">
        <v>0.95699999999999996</v>
      </c>
      <c r="AZ47" s="5">
        <f>(LN(10)*AY47)/BA$1</f>
        <v>1.9674767267815197E+17</v>
      </c>
      <c r="BB47" s="5">
        <f>AZ3-AZ47</f>
        <v>1.7680564106918528E+16</v>
      </c>
      <c r="BK47" s="1"/>
    </row>
    <row r="48" spans="1:227" x14ac:dyDescent="0.35">
      <c r="A48">
        <v>90.5</v>
      </c>
      <c r="B48">
        <v>0.77200000000000002</v>
      </c>
      <c r="C48" s="1">
        <f t="shared" si="0"/>
        <v>1.5871390105280387E+17</v>
      </c>
      <c r="L48" t="s">
        <v>5</v>
      </c>
      <c r="M48" s="1">
        <v>-228800000000000</v>
      </c>
      <c r="BK48" s="1"/>
    </row>
    <row r="49" spans="1:13" x14ac:dyDescent="0.35">
      <c r="L49" t="s">
        <v>8</v>
      </c>
      <c r="M49" s="1">
        <f>(M48*M$3)/O$3</f>
        <v>103373493975903.61</v>
      </c>
    </row>
    <row r="50" spans="1:13" x14ac:dyDescent="0.35">
      <c r="A50" s="6">
        <v>45691</v>
      </c>
      <c r="B50" t="s">
        <v>18</v>
      </c>
      <c r="L50" s="8" t="s">
        <v>51</v>
      </c>
      <c r="M50" s="8"/>
    </row>
    <row r="51" spans="1:13" x14ac:dyDescent="0.35">
      <c r="A51" t="s">
        <v>16</v>
      </c>
      <c r="B51" t="s">
        <v>17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L51" t="s">
        <v>5</v>
      </c>
      <c r="M51" s="1">
        <v>-287100000000000</v>
      </c>
    </row>
    <row r="52" spans="1:13" x14ac:dyDescent="0.35">
      <c r="A52" t="s">
        <v>19</v>
      </c>
      <c r="B52">
        <v>0.61399999999999999</v>
      </c>
      <c r="C52">
        <f>AVERAGE(B52:B82)</f>
        <v>0.61080645161290315</v>
      </c>
      <c r="D52">
        <f>_xlfn.STDEV.S(B52:B82)</f>
        <v>4.8608596965194701E-3</v>
      </c>
      <c r="E52">
        <f>COUNTA(B52:B82)</f>
        <v>31</v>
      </c>
      <c r="F52">
        <f>D52*SQRT(E52)</f>
        <v>2.7064121390997859E-2</v>
      </c>
      <c r="G52">
        <f>C52/F52</f>
        <v>22.568863137602953</v>
      </c>
      <c r="L52" t="s">
        <v>8</v>
      </c>
      <c r="M52" s="1">
        <f>(M51*M$3)/O$3</f>
        <v>129713855421686.73</v>
      </c>
    </row>
    <row r="53" spans="1:13" x14ac:dyDescent="0.35">
      <c r="A53">
        <v>2</v>
      </c>
      <c r="B53">
        <v>0.61</v>
      </c>
      <c r="C53">
        <f>MAX(B52:B82)</f>
        <v>0.622</v>
      </c>
      <c r="L53" s="8" t="s">
        <v>52</v>
      </c>
      <c r="M53" s="8"/>
    </row>
    <row r="54" spans="1:13" x14ac:dyDescent="0.35">
      <c r="A54">
        <v>4</v>
      </c>
      <c r="B54">
        <v>0.61499999999999999</v>
      </c>
      <c r="C54">
        <f>MIN(B52:B82)</f>
        <v>0.60099999999999998</v>
      </c>
      <c r="L54" t="s">
        <v>5</v>
      </c>
      <c r="M54" s="1">
        <v>-230800000000000</v>
      </c>
    </row>
    <row r="55" spans="1:13" x14ac:dyDescent="0.35">
      <c r="A55">
        <v>6</v>
      </c>
      <c r="B55">
        <v>0.61099999999999999</v>
      </c>
      <c r="L55" t="s">
        <v>8</v>
      </c>
      <c r="M55" s="1">
        <f>(M54*M$3)/O$3</f>
        <v>104277108433734.94</v>
      </c>
    </row>
    <row r="56" spans="1:13" x14ac:dyDescent="0.35">
      <c r="A56">
        <v>8</v>
      </c>
      <c r="B56">
        <v>0.622</v>
      </c>
      <c r="L56" s="8" t="s">
        <v>53</v>
      </c>
      <c r="M56" s="8"/>
    </row>
    <row r="57" spans="1:13" x14ac:dyDescent="0.35">
      <c r="A57">
        <v>10</v>
      </c>
      <c r="B57">
        <v>0.60099999999999998</v>
      </c>
      <c r="L57" t="s">
        <v>5</v>
      </c>
      <c r="M57" s="1">
        <v>-207700000000000</v>
      </c>
    </row>
    <row r="58" spans="1:13" x14ac:dyDescent="0.35">
      <c r="A58">
        <v>12</v>
      </c>
      <c r="B58">
        <v>0.61499999999999999</v>
      </c>
      <c r="L58" t="s">
        <v>8</v>
      </c>
      <c r="M58" s="1">
        <f>(M57*M$3)/O$3</f>
        <v>93840361445783.141</v>
      </c>
    </row>
    <row r="59" spans="1:13" x14ac:dyDescent="0.35">
      <c r="A59">
        <v>14</v>
      </c>
      <c r="B59">
        <v>0.60899999999999999</v>
      </c>
      <c r="L59" s="8" t="s">
        <v>55</v>
      </c>
      <c r="M59" s="8"/>
    </row>
    <row r="60" spans="1:13" x14ac:dyDescent="0.35">
      <c r="A60">
        <v>16</v>
      </c>
      <c r="B60">
        <v>0.61599999999999999</v>
      </c>
      <c r="L60" t="s">
        <v>5</v>
      </c>
      <c r="M60" s="1">
        <v>-173000000000000</v>
      </c>
    </row>
    <row r="61" spans="1:13" x14ac:dyDescent="0.35">
      <c r="A61">
        <v>18</v>
      </c>
      <c r="B61">
        <v>0.60699999999999998</v>
      </c>
      <c r="L61" t="s">
        <v>8</v>
      </c>
      <c r="M61" s="1">
        <f>(M60*M$3)/O$3</f>
        <v>78162650602409.641</v>
      </c>
    </row>
    <row r="62" spans="1:13" x14ac:dyDescent="0.35">
      <c r="A62">
        <v>20</v>
      </c>
      <c r="B62">
        <v>0.61499999999999999</v>
      </c>
      <c r="L62" s="8" t="s">
        <v>56</v>
      </c>
      <c r="M62" s="8"/>
    </row>
    <row r="63" spans="1:13" x14ac:dyDescent="0.35">
      <c r="A63">
        <v>22</v>
      </c>
      <c r="B63">
        <v>0.61699999999999999</v>
      </c>
      <c r="L63" t="s">
        <v>5</v>
      </c>
      <c r="M63" s="1">
        <v>-180800000000000</v>
      </c>
    </row>
    <row r="64" spans="1:13" x14ac:dyDescent="0.35">
      <c r="A64">
        <v>24</v>
      </c>
      <c r="B64">
        <v>0.60799999999999998</v>
      </c>
      <c r="L64" t="s">
        <v>8</v>
      </c>
      <c r="M64" s="1">
        <f>(M63*M$3)/O$3</f>
        <v>81686746987951.797</v>
      </c>
    </row>
    <row r="65" spans="1:2" x14ac:dyDescent="0.35">
      <c r="A65">
        <v>26</v>
      </c>
      <c r="B65">
        <v>0.61099999999999999</v>
      </c>
    </row>
    <row r="66" spans="1:2" x14ac:dyDescent="0.35">
      <c r="A66">
        <v>28</v>
      </c>
      <c r="B66">
        <v>0.61099999999999999</v>
      </c>
    </row>
    <row r="67" spans="1:2" x14ac:dyDescent="0.35">
      <c r="A67">
        <v>30</v>
      </c>
      <c r="B67">
        <v>0.60799999999999998</v>
      </c>
    </row>
    <row r="68" spans="1:2" x14ac:dyDescent="0.35">
      <c r="A68">
        <v>32</v>
      </c>
      <c r="B68">
        <v>0.61199999999999999</v>
      </c>
    </row>
    <row r="69" spans="1:2" x14ac:dyDescent="0.35">
      <c r="A69">
        <v>34</v>
      </c>
      <c r="B69">
        <v>0.60499999999999998</v>
      </c>
    </row>
    <row r="70" spans="1:2" x14ac:dyDescent="0.35">
      <c r="A70">
        <v>36</v>
      </c>
      <c r="B70">
        <v>0.60899999999999999</v>
      </c>
    </row>
    <row r="71" spans="1:2" x14ac:dyDescent="0.35">
      <c r="A71">
        <v>38</v>
      </c>
      <c r="B71">
        <v>0.61399999999999999</v>
      </c>
    </row>
    <row r="72" spans="1:2" x14ac:dyDescent="0.35">
      <c r="A72">
        <v>40</v>
      </c>
      <c r="B72">
        <v>0.61399999999999999</v>
      </c>
    </row>
    <row r="73" spans="1:2" x14ac:dyDescent="0.35">
      <c r="A73">
        <v>42</v>
      </c>
      <c r="B73">
        <v>0.60699999999999998</v>
      </c>
    </row>
    <row r="74" spans="1:2" x14ac:dyDescent="0.35">
      <c r="A74">
        <v>44</v>
      </c>
      <c r="B74">
        <v>0.60399999999999998</v>
      </c>
    </row>
    <row r="75" spans="1:2" x14ac:dyDescent="0.35">
      <c r="A75">
        <v>46</v>
      </c>
      <c r="B75">
        <v>0.60699999999999998</v>
      </c>
    </row>
    <row r="76" spans="1:2" x14ac:dyDescent="0.35">
      <c r="A76">
        <v>48</v>
      </c>
      <c r="B76">
        <v>0.61</v>
      </c>
    </row>
    <row r="77" spans="1:2" x14ac:dyDescent="0.35">
      <c r="A77">
        <v>50</v>
      </c>
      <c r="B77">
        <v>0.61499999999999999</v>
      </c>
    </row>
    <row r="78" spans="1:2" x14ac:dyDescent="0.35">
      <c r="A78">
        <v>52</v>
      </c>
      <c r="B78">
        <v>0.61599999999999999</v>
      </c>
    </row>
    <row r="79" spans="1:2" x14ac:dyDescent="0.35">
      <c r="A79">
        <v>54</v>
      </c>
      <c r="B79">
        <v>0.60699999999999998</v>
      </c>
    </row>
    <row r="80" spans="1:2" x14ac:dyDescent="0.35">
      <c r="A80">
        <v>56</v>
      </c>
      <c r="B80">
        <v>0.60799999999999998</v>
      </c>
    </row>
    <row r="81" spans="1:2" x14ac:dyDescent="0.35">
      <c r="A81">
        <v>58</v>
      </c>
      <c r="B81">
        <v>0.60099999999999998</v>
      </c>
    </row>
    <row r="82" spans="1:2" x14ac:dyDescent="0.35">
      <c r="A82">
        <v>60</v>
      </c>
      <c r="B82">
        <v>0.61599999999999999</v>
      </c>
    </row>
  </sheetData>
  <mergeCells count="13">
    <mergeCell ref="L62:M62"/>
    <mergeCell ref="L59:M59"/>
    <mergeCell ref="L56:M56"/>
    <mergeCell ref="L26:M26"/>
    <mergeCell ref="L32:M32"/>
    <mergeCell ref="L35:M35"/>
    <mergeCell ref="L38:M38"/>
    <mergeCell ref="L53:M53"/>
    <mergeCell ref="L50:M50"/>
    <mergeCell ref="L47:M47"/>
    <mergeCell ref="L44:M44"/>
    <mergeCell ref="L41:M41"/>
    <mergeCell ref="L29:M29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cp:lastPrinted>2025-02-03T18:05:27Z</cp:lastPrinted>
  <dcterms:created xsi:type="dcterms:W3CDTF">2025-02-03T18:05:23Z</dcterms:created>
  <dcterms:modified xsi:type="dcterms:W3CDTF">2025-09-02T14:56:21Z</dcterms:modified>
</cp:coreProperties>
</file>