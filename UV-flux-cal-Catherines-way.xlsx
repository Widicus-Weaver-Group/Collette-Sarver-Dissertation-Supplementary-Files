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ce-work-laptop\"/>
    </mc:Choice>
  </mc:AlternateContent>
  <xr:revisionPtr revIDLastSave="0" documentId="13_ncr:1_{2DF3FAAC-B17C-4316-B273-4FD94A0D1097}" xr6:coauthVersionLast="47" xr6:coauthVersionMax="47" xr10:uidLastSave="{00000000-0000-0000-0000-000000000000}"/>
  <bookViews>
    <workbookView xWindow="-120" yWindow="-120" windowWidth="29040" windowHeight="15840" xr2:uid="{9B637F2B-A32E-4405-9459-CCE5D9CF9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I46" i="1"/>
  <c r="E55" i="1"/>
  <c r="D55" i="1"/>
  <c r="D49" i="1" a="1"/>
  <c r="D49" i="1" s="1"/>
  <c r="B55" i="1" l="1"/>
  <c r="A55" i="1"/>
  <c r="A49" i="1" a="1"/>
  <c r="A49" i="1" s="1"/>
  <c r="E11" i="1"/>
  <c r="I44" i="1"/>
  <c r="K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M42" i="1" l="1"/>
  <c r="I42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7" i="1"/>
  <c r="F27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27" i="1"/>
  <c r="E2" i="1"/>
  <c r="E3" i="1"/>
  <c r="E4" i="1"/>
  <c r="E5" i="1"/>
  <c r="E6" i="1"/>
  <c r="E7" i="1"/>
  <c r="A7" i="1"/>
  <c r="A6" i="1"/>
  <c r="A5" i="1"/>
  <c r="A4" i="1"/>
  <c r="A3" i="1"/>
  <c r="O43" i="1" l="1"/>
  <c r="O42" i="1"/>
  <c r="P4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<sst xmlns="http://schemas.openxmlformats.org/spreadsheetml/2006/main" count="29" uniqueCount="22">
  <si>
    <t>time (min)</t>
  </si>
  <si>
    <t>Integrated Absorbance 50W</t>
  </si>
  <si>
    <t>Integrated Absorbance 100 W</t>
  </si>
  <si>
    <t>Literature Integrated absorbance of band 956</t>
  </si>
  <si>
    <t>Average ratio</t>
  </si>
  <si>
    <t>Dosage photons/sm^2</t>
  </si>
  <si>
    <t>Vinylene Concentration (mol/L)</t>
  </si>
  <si>
    <t>time (s)</t>
  </si>
  <si>
    <t>Vinylene Concentration (mol/L) *10^3</t>
  </si>
  <si>
    <t>m</t>
  </si>
  <si>
    <t>k</t>
  </si>
  <si>
    <t>flux</t>
  </si>
  <si>
    <t>Vinylene concentration (50W)</t>
  </si>
  <si>
    <t>Vinylene concentration (100W)</t>
  </si>
  <si>
    <t>50W flux</t>
  </si>
  <si>
    <t>100W flux</t>
  </si>
  <si>
    <t>Ratio 100W/50W</t>
  </si>
  <si>
    <t>100W flux=1.337(50W flux)</t>
  </si>
  <si>
    <t>50W Statistics</t>
  </si>
  <si>
    <t>Standard error of slope</t>
  </si>
  <si>
    <t>Standard error of flux</t>
  </si>
  <si>
    <t xml:space="preserve">100W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</si>
</sst>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11" fontId="3" fillId="0" borderId="1" xfId="0" applyNumberFormat="1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3" fillId="0" borderId="1" xfId="0" applyNumberFormat="1" applyFont="1" applyBorder="1" applyAlignment="1">
      <alignment vertical="center" wrapText="1"/>
    </xf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Border="1"/>
    <xf numFmtId="11" fontId="4" fillId="2" borderId="0" xfId="0" applyNumberFormat="1" applyFont="1" applyFill="1" applyBorder="1"/>
    <xf numFmtId="11" fontId="0" fillId="2" borderId="0" xfId="0" applyNumberFormat="1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Vinylene Concentration (mol/L) *10^3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54133858267714"/>
                  <c:y val="-2.71321813939924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0</c:v>
                </c:pt>
                <c:pt idx="1">
                  <c:v>6.1304543409806553E-2</c:v>
                </c:pt>
                <c:pt idx="2">
                  <c:v>9.4118308591992786E-2</c:v>
                </c:pt>
                <c:pt idx="3">
                  <c:v>0.11980014137908875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B-444B-85C9-5515EA25A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738144"/>
        <c:axId val="931739584"/>
      </c:scatterChart>
      <c:valAx>
        <c:axId val="93173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739584"/>
        <c:crosses val="autoZero"/>
        <c:crossBetween val="midCat"/>
      </c:valAx>
      <c:valAx>
        <c:axId val="9317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73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Sheet1!$D$26</c:f>
              <c:strCache>
                <c:ptCount val="1"/>
                <c:pt idx="0">
                  <c:v>Vinylene concentration (50W)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650218722659666"/>
                  <c:y val="-4.1666666666666669E-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Sheet1!$B$27:$B$33</c:f>
              <c:numCache>
                <c:formatCode>General</c:formatCode>
                <c:ptCount val="7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1020</c:v>
                </c:pt>
                <c:pt idx="4">
                  <c:v>1260</c:v>
                </c:pt>
                <c:pt idx="5">
                  <c:v>1500</c:v>
                </c:pt>
                <c:pt idx="6">
                  <c:v>1800</c:v>
                </c:pt>
              </c:numCache>
            </c:numRef>
          </c:xVal>
          <c:yVal>
            <c:numRef>
              <c:f>Sheet1!$D$27:$D$33</c:f>
              <c:numCache>
                <c:formatCode>General</c:formatCode>
                <c:ptCount val="7"/>
                <c:pt idx="0">
                  <c:v>0</c:v>
                </c:pt>
                <c:pt idx="1">
                  <c:v>5.7001478054109619E-3</c:v>
                </c:pt>
                <c:pt idx="2">
                  <c:v>8.4441873915558126E-3</c:v>
                </c:pt>
                <c:pt idx="3">
                  <c:v>1.0282115545273441E-2</c:v>
                </c:pt>
                <c:pt idx="4">
                  <c:v>1.1760169654906496E-2</c:v>
                </c:pt>
                <c:pt idx="5">
                  <c:v>1.3784461152882205E-2</c:v>
                </c:pt>
                <c:pt idx="6">
                  <c:v>1.4523488207698731E-2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5F-42D9-9781-32B1D308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442944"/>
        <c:axId val="899445824"/>
      </c:scatterChart>
      <c:valAx>
        <c:axId val="8994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5824"/>
        <c:crosses val="autoZero"/>
        <c:crossBetween val="midCat"/>
      </c:valAx>
      <c:valAx>
        <c:axId val="89944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Sheet1!$F$26</c:f>
              <c:strCache>
                <c:ptCount val="1"/>
                <c:pt idx="0">
                  <c:v>Vinylene concentration (100W)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594663167104114"/>
                  <c:y val="-1.8935185185185208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Sheet1!$B$27:$B$45</c:f>
              <c:numCache>
                <c:formatCode>General</c:formatCode>
                <c:ptCount val="19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1020</c:v>
                </c:pt>
                <c:pt idx="4">
                  <c:v>1260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4200</c:v>
                </c:pt>
                <c:pt idx="14">
                  <c:v>4800</c:v>
                </c:pt>
                <c:pt idx="15">
                  <c:v>5400</c:v>
                </c:pt>
                <c:pt idx="16">
                  <c:v>6000</c:v>
                </c:pt>
                <c:pt idx="17">
                  <c:v>6600</c:v>
                </c:pt>
                <c:pt idx="18">
                  <c:v>7200</c:v>
                </c:pt>
              </c:numCache>
            </c:numRef>
          </c:xVal>
          <c:yVal>
            <c:numRef>
              <c:f>Sheet1!$F$27:$F$32</c:f>
              <c:numCache>
                <c:formatCode>General</c:formatCode>
                <c:ptCount val="6"/>
                <c:pt idx="0">
                  <c:v>0</c:v>
                </c:pt>
                <c:pt idx="1">
                  <c:v>1.0462052567315723E-2</c:v>
                </c:pt>
                <c:pt idx="2">
                  <c:v>1.3177173703489491E-2</c:v>
                </c:pt>
                <c:pt idx="3">
                  <c:v>1.5133988818199343E-2</c:v>
                </c:pt>
                <c:pt idx="4">
                  <c:v>1.6708437761069336E-2</c:v>
                </c:pt>
                <c:pt idx="5">
                  <c:v>1.7640254482359743E-2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BB-439A-9D1F-2E4EFF6E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447472"/>
        <c:axId val="900446992"/>
      </c:scatterChart>
      <c:valAx>
        <c:axId val="90044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46992"/>
        <c:crosses val="autoZero"/>
        <c:crossBetween val="midCat"/>
      </c:valAx>
      <c:valAx>
        <c:axId val="9004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4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962025</xdr:colOff>
      <xdr:row>8</xdr:row>
      <xdr:rowOff>128587</xdr:rowOff>
    </xdr:from>
    <xdr:to>
      <xdr:col>2</xdr:col>
      <xdr:colOff>2533650</xdr:colOff>
      <xdr:row>23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D9460E-5E15-E243-E4AE-3719FED58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885825</xdr:colOff>
      <xdr:row>24</xdr:row>
      <xdr:rowOff>71437</xdr:rowOff>
    </xdr:from>
    <xdr:to>
      <xdr:col>9</xdr:col>
      <xdr:colOff>581025</xdr:colOff>
      <xdr:row>38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E211D8-2AE9-D145-9ED5-9A9E734B2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695325</xdr:colOff>
      <xdr:row>23</xdr:row>
      <xdr:rowOff>157162</xdr:rowOff>
    </xdr:from>
    <xdr:to>
      <xdr:col>16</xdr:col>
      <xdr:colOff>381000</xdr:colOff>
      <xdr:row>38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2DCEED-2610-D346-8530-0819B7EFF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268C-CD21-46C1-AB9F-2C13F8CA746C}">
  <dimension ref="A1:P90"/>
  <sheetViews>
    <sheetView tabSelected="1" topLeftCell="A36" zoomScaleNormal="100" workbookViewId="0">
      <selection activeCell="F49" sqref="F49"/>
    </sheetView>
  </sheetViews>
  <sheetFormatPr defaultRowHeight="15" x14ac:dyDescent="0.25"/>
  <cols>
    <col min="1" max="1" width="14.85546875" bestFit="1" customWidth="1"/>
    <col min="2" max="2" width="45" bestFit="1" customWidth="1"/>
    <col min="3" max="3" width="39.140625" bestFit="1" customWidth="1"/>
    <col min="4" max="4" width="37.5703125" bestFit="1" customWidth="1"/>
    <col min="5" max="5" width="37.5703125" customWidth="1"/>
    <col min="6" max="6" width="20.5703125" customWidth="1"/>
    <col min="7" max="7" width="24.85546875" bestFit="1" customWidth="1"/>
    <col min="8" max="8" width="26" bestFit="1" customWidth="1"/>
    <col min="9" max="9" width="25.85546875" bestFit="1" customWidth="1"/>
    <col min="10" max="10" width="18.42578125" customWidth="1"/>
    <col min="11" max="11" width="12.85546875" bestFit="1" customWidth="1"/>
  </cols>
  <sheetData>
    <row r="1" spans="1:15" ht="15.75" thickBot="1" x14ac:dyDescent="0.3">
      <c r="A1" t="s">
        <v>7</v>
      </c>
      <c r="B1" t="s">
        <v>3</v>
      </c>
      <c r="C1" t="s">
        <v>5</v>
      </c>
      <c r="D1" t="s">
        <v>6</v>
      </c>
      <c r="E1" t="s">
        <v>8</v>
      </c>
      <c r="H1" t="s">
        <v>1</v>
      </c>
      <c r="I1" t="s">
        <v>2</v>
      </c>
      <c r="J1" t="s">
        <v>16</v>
      </c>
      <c r="M1">
        <v>8</v>
      </c>
    </row>
    <row r="2" spans="1:15" ht="15.75" thickBot="1" x14ac:dyDescent="0.3">
      <c r="A2" s="4">
        <v>0</v>
      </c>
      <c r="B2" s="4">
        <v>0</v>
      </c>
      <c r="C2" s="4">
        <v>0</v>
      </c>
      <c r="D2" s="4">
        <v>0</v>
      </c>
      <c r="E2">
        <f>(B2/(126*0.0000247))/1000</f>
        <v>0</v>
      </c>
      <c r="H2">
        <v>0</v>
      </c>
      <c r="I2">
        <v>0</v>
      </c>
      <c r="M2">
        <v>8</v>
      </c>
      <c r="N2" s="2"/>
      <c r="O2" s="2"/>
    </row>
    <row r="3" spans="1:15" ht="15.75" thickBot="1" x14ac:dyDescent="0.3">
      <c r="A3" s="4">
        <f>20*60</f>
        <v>1200</v>
      </c>
      <c r="B3" s="4">
        <v>0.19079199999999999</v>
      </c>
      <c r="C3" s="5">
        <v>1.67602736E+18</v>
      </c>
      <c r="D3" s="7">
        <v>60.569018</v>
      </c>
      <c r="E3">
        <f t="shared" ref="E3:E7" si="0">(B3/(126*0.0000247))/1000</f>
        <v>6.1304543409806553E-2</v>
      </c>
      <c r="H3">
        <v>1.7739999999999999E-2</v>
      </c>
      <c r="I3">
        <v>3.2559999999999999E-2</v>
      </c>
      <c r="J3">
        <f t="shared" ref="J3:J20" si="1">I3/H3</f>
        <v>1.8354002254791433</v>
      </c>
      <c r="K3" s="1"/>
      <c r="N3" s="2"/>
      <c r="O3" s="2"/>
    </row>
    <row r="4" spans="1:15" ht="15.75" thickBot="1" x14ac:dyDescent="0.3">
      <c r="A4" s="4">
        <f>30*60</f>
        <v>1800</v>
      </c>
      <c r="B4" s="4">
        <v>0.29291499999999998</v>
      </c>
      <c r="C4" s="5">
        <v>2.51258088E+18</v>
      </c>
      <c r="D4" s="7">
        <v>92.988820000000004</v>
      </c>
      <c r="E4">
        <f t="shared" si="0"/>
        <v>9.4118308591992786E-2</v>
      </c>
      <c r="H4">
        <v>2.6280000000000001E-2</v>
      </c>
      <c r="I4">
        <v>4.1009999999999998E-2</v>
      </c>
      <c r="J4">
        <f t="shared" si="1"/>
        <v>1.5605022831050226</v>
      </c>
      <c r="K4" s="1"/>
      <c r="N4" s="2"/>
      <c r="O4" s="2"/>
    </row>
    <row r="5" spans="1:15" ht="15.75" thickBot="1" x14ac:dyDescent="0.3">
      <c r="A5" s="4">
        <f>40*60</f>
        <v>2400</v>
      </c>
      <c r="B5" s="4">
        <v>0.37284200000000001</v>
      </c>
      <c r="C5" s="5">
        <v>3.34612175E+18</v>
      </c>
      <c r="D5" s="7">
        <v>118.36248999999999</v>
      </c>
      <c r="E5">
        <f t="shared" si="0"/>
        <v>0.11980014137908875</v>
      </c>
      <c r="H5">
        <v>3.2000000000000001E-2</v>
      </c>
      <c r="I5">
        <v>4.7100000000000003E-2</v>
      </c>
      <c r="J5">
        <f t="shared" si="1"/>
        <v>1.471875</v>
      </c>
      <c r="K5" s="1"/>
      <c r="N5" s="2"/>
      <c r="O5" s="2"/>
    </row>
    <row r="6" spans="1:15" ht="15.75" thickBot="1" x14ac:dyDescent="0.3">
      <c r="A6" s="4">
        <f>50*60</f>
        <v>3000</v>
      </c>
      <c r="B6" s="4">
        <v>0.39694299999999999</v>
      </c>
      <c r="C6" s="5">
        <v>4.17951775E+18</v>
      </c>
      <c r="D6" s="7">
        <v>126.01373</v>
      </c>
      <c r="E6">
        <f t="shared" si="0"/>
        <v>0.12754418096523357</v>
      </c>
      <c r="H6">
        <v>3.6600000000000001E-2</v>
      </c>
      <c r="I6">
        <v>5.1999999999999998E-2</v>
      </c>
      <c r="J6">
        <f t="shared" si="1"/>
        <v>1.4207650273224042</v>
      </c>
      <c r="K6" s="1"/>
      <c r="N6" s="2"/>
      <c r="O6" s="2"/>
    </row>
    <row r="7" spans="1:15" ht="15.75" thickBot="1" x14ac:dyDescent="0.3">
      <c r="A7" s="4">
        <f>60*60</f>
        <v>3600</v>
      </c>
      <c r="B7" s="4">
        <v>0.41162799999999999</v>
      </c>
      <c r="C7" s="5">
        <v>5.012889E+18</v>
      </c>
      <c r="D7" s="7">
        <v>130.67565999999999</v>
      </c>
      <c r="E7">
        <f t="shared" si="0"/>
        <v>0.13226270805218171</v>
      </c>
      <c r="H7">
        <v>4.2900000000000001E-2</v>
      </c>
      <c r="I7">
        <v>5.4899999999999997E-2</v>
      </c>
      <c r="J7">
        <f t="shared" si="1"/>
        <v>1.2797202797202796</v>
      </c>
      <c r="K7" s="1"/>
      <c r="N7" s="2"/>
      <c r="O7" s="2"/>
    </row>
    <row r="8" spans="1:15" x14ac:dyDescent="0.25">
      <c r="H8">
        <v>4.5199999999999997E-2</v>
      </c>
      <c r="I8">
        <v>5.6599999999999998E-2</v>
      </c>
      <c r="J8">
        <f t="shared" si="1"/>
        <v>1.252212389380531</v>
      </c>
    </row>
    <row r="9" spans="1:15" x14ac:dyDescent="0.25">
      <c r="D9" t="s">
        <v>10</v>
      </c>
      <c r="E9" s="1">
        <v>3.7000000000000001E-20</v>
      </c>
      <c r="H9">
        <v>4.7899999999999998E-2</v>
      </c>
      <c r="I9">
        <v>6.0299999999999999E-2</v>
      </c>
      <c r="J9">
        <f t="shared" si="1"/>
        <v>1.2588726513569937</v>
      </c>
    </row>
    <row r="10" spans="1:15" x14ac:dyDescent="0.25">
      <c r="D10" t="s">
        <v>9</v>
      </c>
      <c r="E10" s="1">
        <v>5.0000000000000002E-5</v>
      </c>
      <c r="H10">
        <v>5.0599999999999999E-2</v>
      </c>
      <c r="I10">
        <v>6.2E-2</v>
      </c>
      <c r="J10">
        <f t="shared" si="1"/>
        <v>1.2252964426877471</v>
      </c>
    </row>
    <row r="11" spans="1:15" x14ac:dyDescent="0.25">
      <c r="D11" t="s">
        <v>11</v>
      </c>
      <c r="E11" s="1">
        <f>E10/$E$9</f>
        <v>1351351351351351.5</v>
      </c>
      <c r="H11">
        <v>5.2699999999999997E-2</v>
      </c>
      <c r="I11">
        <v>6.2899999999999998E-2</v>
      </c>
      <c r="J11">
        <f t="shared" si="1"/>
        <v>1.1935483870967742</v>
      </c>
    </row>
    <row r="12" spans="1:15" x14ac:dyDescent="0.25">
      <c r="H12">
        <v>5.3600000000000002E-2</v>
      </c>
      <c r="I12">
        <v>6.4699999999999994E-2</v>
      </c>
      <c r="J12">
        <f t="shared" si="1"/>
        <v>1.2070895522388059</v>
      </c>
    </row>
    <row r="13" spans="1:15" x14ac:dyDescent="0.25">
      <c r="H13">
        <v>5.2999999999999999E-2</v>
      </c>
      <c r="I13">
        <v>6.6199999999999995E-2</v>
      </c>
      <c r="J13">
        <f t="shared" si="1"/>
        <v>1.2490566037735849</v>
      </c>
    </row>
    <row r="14" spans="1:15" x14ac:dyDescent="0.25">
      <c r="H14">
        <v>5.0900000000000001E-2</v>
      </c>
      <c r="I14">
        <v>6.8199999999999997E-2</v>
      </c>
      <c r="J14">
        <f t="shared" si="1"/>
        <v>1.3398821218074655</v>
      </c>
    </row>
    <row r="15" spans="1:15" x14ac:dyDescent="0.25">
      <c r="H15">
        <v>4.8300000000000003E-2</v>
      </c>
      <c r="I15">
        <v>6.9199999999999998E-2</v>
      </c>
      <c r="J15">
        <f t="shared" si="1"/>
        <v>1.4327122153209109</v>
      </c>
    </row>
    <row r="16" spans="1:15" x14ac:dyDescent="0.25">
      <c r="H16">
        <v>4.0099999999999997E-2</v>
      </c>
      <c r="I16">
        <v>7.0300000000000001E-2</v>
      </c>
      <c r="J16">
        <f t="shared" si="1"/>
        <v>1.7531172069825438</v>
      </c>
    </row>
    <row r="17" spans="1:11" x14ac:dyDescent="0.25">
      <c r="H17">
        <v>4.5999999999999999E-2</v>
      </c>
      <c r="I17">
        <v>7.2900000000000006E-2</v>
      </c>
      <c r="J17">
        <f t="shared" si="1"/>
        <v>1.5847826086956522</v>
      </c>
    </row>
    <row r="18" spans="1:11" x14ac:dyDescent="0.25">
      <c r="H18">
        <v>6.9099999999999995E-2</v>
      </c>
      <c r="I18">
        <v>7.5399999999999995E-2</v>
      </c>
      <c r="J18">
        <f t="shared" si="1"/>
        <v>1.0911722141823443</v>
      </c>
    </row>
    <row r="19" spans="1:11" x14ac:dyDescent="0.25">
      <c r="H19">
        <v>7.6799999999999993E-2</v>
      </c>
      <c r="I19">
        <v>7.5600000000000001E-2</v>
      </c>
      <c r="J19">
        <f t="shared" si="1"/>
        <v>0.98437500000000011</v>
      </c>
      <c r="K19" t="s">
        <v>4</v>
      </c>
    </row>
    <row r="20" spans="1:11" x14ac:dyDescent="0.25">
      <c r="H20">
        <v>8.1299999999999997E-2</v>
      </c>
      <c r="I20">
        <v>7.5600000000000001E-2</v>
      </c>
      <c r="J20">
        <f t="shared" si="1"/>
        <v>0.92988929889298899</v>
      </c>
      <c r="K20">
        <f>AVERAGE(J3:J20)</f>
        <v>1.3372371948912882</v>
      </c>
    </row>
    <row r="26" spans="1:11" x14ac:dyDescent="0.25">
      <c r="A26" t="s">
        <v>0</v>
      </c>
      <c r="B26" t="s">
        <v>7</v>
      </c>
      <c r="C26" t="s">
        <v>1</v>
      </c>
      <c r="D26" t="s">
        <v>12</v>
      </c>
      <c r="E26" t="s">
        <v>2</v>
      </c>
      <c r="F26" t="s">
        <v>13</v>
      </c>
    </row>
    <row r="27" spans="1:11" x14ac:dyDescent="0.25">
      <c r="A27">
        <v>0</v>
      </c>
      <c r="B27">
        <f>A27*60</f>
        <v>0</v>
      </c>
      <c r="C27">
        <v>0</v>
      </c>
      <c r="D27">
        <f>(C27/(126*0.0000247))/1000</f>
        <v>0</v>
      </c>
      <c r="E27">
        <v>0</v>
      </c>
      <c r="F27">
        <f>(E27/(126*0.0000247))/1000</f>
        <v>0</v>
      </c>
    </row>
    <row r="28" spans="1:11" x14ac:dyDescent="0.25">
      <c r="A28">
        <v>5</v>
      </c>
      <c r="B28">
        <f t="shared" ref="B28:B45" si="2">A28*60</f>
        <v>300</v>
      </c>
      <c r="C28">
        <v>1.7739999999999999E-2</v>
      </c>
      <c r="D28">
        <f t="shared" ref="D28:F45" si="3">(C28/(126*0.0000247))/1000</f>
        <v>5.7001478054109619E-3</v>
      </c>
      <c r="E28">
        <v>3.2559999999999999E-2</v>
      </c>
      <c r="F28">
        <f t="shared" si="3"/>
        <v>1.0462052567315723E-2</v>
      </c>
    </row>
    <row r="29" spans="1:11" x14ac:dyDescent="0.25">
      <c r="A29">
        <v>10</v>
      </c>
      <c r="B29">
        <f t="shared" si="2"/>
        <v>600</v>
      </c>
      <c r="C29">
        <v>2.6280000000000001E-2</v>
      </c>
      <c r="D29">
        <f t="shared" si="3"/>
        <v>8.4441873915558126E-3</v>
      </c>
      <c r="E29">
        <v>4.1009999999999998E-2</v>
      </c>
      <c r="F29">
        <f t="shared" si="3"/>
        <v>1.3177173703489491E-2</v>
      </c>
    </row>
    <row r="30" spans="1:11" x14ac:dyDescent="0.25">
      <c r="A30">
        <v>17</v>
      </c>
      <c r="B30">
        <f t="shared" si="2"/>
        <v>1020</v>
      </c>
      <c r="C30">
        <v>3.2000000000000001E-2</v>
      </c>
      <c r="D30">
        <f t="shared" si="3"/>
        <v>1.0282115545273441E-2</v>
      </c>
      <c r="E30">
        <v>4.7100000000000003E-2</v>
      </c>
      <c r="F30">
        <f t="shared" si="3"/>
        <v>1.5133988818199343E-2</v>
      </c>
    </row>
    <row r="31" spans="1:11" x14ac:dyDescent="0.25">
      <c r="A31">
        <v>21</v>
      </c>
      <c r="B31">
        <f t="shared" si="2"/>
        <v>1260</v>
      </c>
      <c r="C31">
        <v>3.6600000000000001E-2</v>
      </c>
      <c r="D31">
        <f t="shared" si="3"/>
        <v>1.1760169654906496E-2</v>
      </c>
      <c r="E31">
        <v>5.1999999999999998E-2</v>
      </c>
      <c r="F31">
        <f t="shared" si="3"/>
        <v>1.6708437761069336E-2</v>
      </c>
    </row>
    <row r="32" spans="1:11" x14ac:dyDescent="0.25">
      <c r="A32">
        <v>25</v>
      </c>
      <c r="B32">
        <f t="shared" si="2"/>
        <v>1500</v>
      </c>
      <c r="C32">
        <v>4.2900000000000001E-2</v>
      </c>
      <c r="D32">
        <f t="shared" si="3"/>
        <v>1.3784461152882205E-2</v>
      </c>
      <c r="E32">
        <v>5.4899999999999997E-2</v>
      </c>
      <c r="F32">
        <f t="shared" si="3"/>
        <v>1.7640254482359743E-2</v>
      </c>
    </row>
    <row r="33" spans="1:16" x14ac:dyDescent="0.25">
      <c r="A33">
        <v>30</v>
      </c>
      <c r="B33">
        <f t="shared" si="2"/>
        <v>1800</v>
      </c>
      <c r="C33">
        <v>4.5199999999999997E-2</v>
      </c>
      <c r="D33">
        <f t="shared" si="3"/>
        <v>1.4523488207698731E-2</v>
      </c>
      <c r="E33">
        <v>5.6599999999999998E-2</v>
      </c>
      <c r="F33">
        <f t="shared" si="3"/>
        <v>1.8186491870702395E-2</v>
      </c>
    </row>
    <row r="34" spans="1:16" x14ac:dyDescent="0.25">
      <c r="A34">
        <v>35</v>
      </c>
      <c r="B34">
        <f t="shared" si="2"/>
        <v>2100</v>
      </c>
      <c r="C34">
        <v>4.7899999999999998E-2</v>
      </c>
      <c r="D34">
        <f t="shared" si="3"/>
        <v>1.5391041706831178E-2</v>
      </c>
      <c r="E34">
        <v>6.0299999999999999E-2</v>
      </c>
      <c r="F34">
        <f t="shared" si="3"/>
        <v>1.9375361480624638E-2</v>
      </c>
    </row>
    <row r="35" spans="1:16" x14ac:dyDescent="0.25">
      <c r="A35">
        <v>40</v>
      </c>
      <c r="B35">
        <f t="shared" si="2"/>
        <v>2400</v>
      </c>
      <c r="C35">
        <v>5.0599999999999999E-2</v>
      </c>
      <c r="D35">
        <f t="shared" si="3"/>
        <v>1.6258595205963625E-2</v>
      </c>
      <c r="E35">
        <v>6.2E-2</v>
      </c>
      <c r="F35">
        <f t="shared" si="3"/>
        <v>1.9921598868967286E-2</v>
      </c>
    </row>
    <row r="36" spans="1:16" x14ac:dyDescent="0.25">
      <c r="A36">
        <v>45</v>
      </c>
      <c r="B36">
        <f t="shared" si="2"/>
        <v>2700</v>
      </c>
      <c r="C36">
        <v>5.2699999999999997E-2</v>
      </c>
      <c r="D36">
        <f t="shared" si="3"/>
        <v>1.6933359038622194E-2</v>
      </c>
      <c r="E36">
        <v>6.2899999999999998E-2</v>
      </c>
      <c r="F36">
        <f t="shared" si="3"/>
        <v>2.0210783368678105E-2</v>
      </c>
    </row>
    <row r="37" spans="1:16" x14ac:dyDescent="0.25">
      <c r="A37">
        <v>50</v>
      </c>
      <c r="B37">
        <f t="shared" si="2"/>
        <v>3000</v>
      </c>
      <c r="C37">
        <v>5.3600000000000002E-2</v>
      </c>
      <c r="D37">
        <f t="shared" si="3"/>
        <v>1.722254353833301E-2</v>
      </c>
      <c r="E37">
        <v>6.4699999999999994E-2</v>
      </c>
      <c r="F37">
        <f t="shared" si="3"/>
        <v>2.0789152368099733E-2</v>
      </c>
    </row>
    <row r="38" spans="1:16" x14ac:dyDescent="0.25">
      <c r="A38">
        <v>55</v>
      </c>
      <c r="B38">
        <f t="shared" si="2"/>
        <v>3300</v>
      </c>
      <c r="C38">
        <v>5.2999999999999999E-2</v>
      </c>
      <c r="D38">
        <f t="shared" si="3"/>
        <v>1.7029753871859132E-2</v>
      </c>
      <c r="E38">
        <v>6.6199999999999995E-2</v>
      </c>
      <c r="F38">
        <f t="shared" si="3"/>
        <v>2.1271126534284427E-2</v>
      </c>
    </row>
    <row r="39" spans="1:16" x14ac:dyDescent="0.25">
      <c r="A39">
        <v>60</v>
      </c>
      <c r="B39">
        <f t="shared" si="2"/>
        <v>3600</v>
      </c>
      <c r="C39">
        <v>5.0900000000000001E-2</v>
      </c>
      <c r="D39">
        <f t="shared" si="3"/>
        <v>1.6354990039200566E-2</v>
      </c>
      <c r="E39">
        <v>6.8199999999999997E-2</v>
      </c>
      <c r="F39">
        <f t="shared" si="3"/>
        <v>2.1913758755864016E-2</v>
      </c>
    </row>
    <row r="40" spans="1:16" x14ac:dyDescent="0.25">
      <c r="A40">
        <v>70</v>
      </c>
      <c r="B40">
        <f t="shared" si="2"/>
        <v>4200</v>
      </c>
      <c r="C40">
        <v>4.8300000000000003E-2</v>
      </c>
      <c r="D40">
        <f t="shared" si="3"/>
        <v>1.5519568151147098E-2</v>
      </c>
      <c r="E40">
        <v>6.9199999999999998E-2</v>
      </c>
      <c r="F40">
        <f t="shared" si="3"/>
        <v>2.2235074866653812E-2</v>
      </c>
    </row>
    <row r="41" spans="1:16" x14ac:dyDescent="0.25">
      <c r="A41">
        <v>80</v>
      </c>
      <c r="B41">
        <f t="shared" si="2"/>
        <v>4800</v>
      </c>
      <c r="C41">
        <v>4.0099999999999997E-2</v>
      </c>
      <c r="D41">
        <f t="shared" si="3"/>
        <v>1.2884776042670777E-2</v>
      </c>
      <c r="E41">
        <v>7.0300000000000001E-2</v>
      </c>
      <c r="F41">
        <f t="shared" si="3"/>
        <v>2.2588522588522588E-2</v>
      </c>
      <c r="H41" t="s">
        <v>9</v>
      </c>
      <c r="I41" s="1">
        <v>7.4699999999999996E-6</v>
      </c>
      <c r="L41" t="s">
        <v>9</v>
      </c>
      <c r="M41" s="1">
        <v>1.01E-5</v>
      </c>
    </row>
    <row r="42" spans="1:16" x14ac:dyDescent="0.25">
      <c r="A42">
        <v>90</v>
      </c>
      <c r="B42">
        <f t="shared" si="2"/>
        <v>5400</v>
      </c>
      <c r="C42">
        <v>4.5999999999999999E-2</v>
      </c>
      <c r="D42">
        <f t="shared" si="3"/>
        <v>1.4780541096330568E-2</v>
      </c>
      <c r="E42">
        <v>7.2900000000000006E-2</v>
      </c>
      <c r="F42">
        <f t="shared" si="3"/>
        <v>2.3423944476576055E-2</v>
      </c>
      <c r="H42" t="s">
        <v>14</v>
      </c>
      <c r="I42" s="12">
        <f>I41/$E$9</f>
        <v>201891891891891.88</v>
      </c>
      <c r="L42" t="s">
        <v>15</v>
      </c>
      <c r="M42" s="13">
        <f>M41/$E$9</f>
        <v>272972972972972.97</v>
      </c>
      <c r="O42" s="8">
        <f>I42/M42</f>
        <v>0.73960396039603959</v>
      </c>
      <c r="P42">
        <f>1-O42</f>
        <v>0.26039603960396041</v>
      </c>
    </row>
    <row r="43" spans="1:16" x14ac:dyDescent="0.25">
      <c r="A43">
        <v>100</v>
      </c>
      <c r="B43">
        <f t="shared" si="2"/>
        <v>6000</v>
      </c>
      <c r="C43">
        <v>6.9099999999999995E-2</v>
      </c>
      <c r="D43">
        <f t="shared" si="3"/>
        <v>2.2202943255574831E-2</v>
      </c>
      <c r="E43">
        <v>7.5399999999999995E-2</v>
      </c>
      <c r="F43">
        <f t="shared" si="3"/>
        <v>2.4227234753550542E-2</v>
      </c>
      <c r="I43" s="11"/>
      <c r="O43" s="1">
        <f>M42/I42</f>
        <v>1.352074966532798</v>
      </c>
    </row>
    <row r="44" spans="1:16" x14ac:dyDescent="0.25">
      <c r="A44">
        <v>110</v>
      </c>
      <c r="B44">
        <f t="shared" si="2"/>
        <v>6600</v>
      </c>
      <c r="C44">
        <v>7.6799999999999993E-2</v>
      </c>
      <c r="D44">
        <f t="shared" si="3"/>
        <v>2.4677077308656252E-2</v>
      </c>
      <c r="E44">
        <v>7.5600000000000001E-2</v>
      </c>
      <c r="F44">
        <f t="shared" si="3"/>
        <v>2.4291497975708499E-2</v>
      </c>
      <c r="H44" t="s">
        <v>17</v>
      </c>
      <c r="I44" s="13">
        <f>K20*I42</f>
        <v>269977347184808.72</v>
      </c>
      <c r="M44" s="14"/>
    </row>
    <row r="45" spans="1:16" x14ac:dyDescent="0.25">
      <c r="A45">
        <v>120</v>
      </c>
      <c r="B45">
        <f t="shared" si="2"/>
        <v>7200</v>
      </c>
      <c r="C45">
        <v>8.1299999999999997E-2</v>
      </c>
      <c r="D45">
        <f t="shared" si="3"/>
        <v>2.6122999807210331E-2</v>
      </c>
      <c r="E45">
        <v>7.5600000000000001E-2</v>
      </c>
      <c r="F45">
        <f t="shared" si="3"/>
        <v>2.4291497975708499E-2</v>
      </c>
    </row>
    <row r="46" spans="1:16" x14ac:dyDescent="0.25">
      <c r="I46">
        <f>2/2.7</f>
        <v>0.7407407407407407</v>
      </c>
      <c r="J46">
        <f>1-I46</f>
        <v>0.2592592592592593</v>
      </c>
    </row>
    <row r="48" spans="1:16" x14ac:dyDescent="0.25">
      <c r="A48" t="s">
        <v>18</v>
      </c>
      <c r="D48" t="s">
        <v>21</v>
      </c>
    </row>
    <row r="49" spans="1:5" x14ac:dyDescent="0.25">
      <c r="A49" cm="1">
        <f t="array" ref="A49:B53">LINEST(D27:D33,B27:B33,TRUE,TRUE)</f>
        <v>7.4716929253189837E-6</v>
      </c>
      <c r="B49">
        <v>2.2968570859515196E-3</v>
      </c>
      <c r="D49" cm="1">
        <f t="array" ref="D49:E53">LINEST(F27:F32,B27:B32,TRUE,TRUE)</f>
        <v>1.0109390897735148E-5</v>
      </c>
      <c r="E49">
        <v>4.3016596551721919E-3</v>
      </c>
    </row>
    <row r="50" spans="1:5" x14ac:dyDescent="0.25">
      <c r="A50" s="9">
        <v>9.2965326862321207E-7</v>
      </c>
      <c r="B50" s="10">
        <v>1.028517556792722E-3</v>
      </c>
      <c r="D50" s="9">
        <v>2.438276715498724E-6</v>
      </c>
      <c r="E50">
        <v>2.2976796310871547E-3</v>
      </c>
    </row>
    <row r="51" spans="1:5" x14ac:dyDescent="0.25">
      <c r="A51">
        <v>0.92815531700200082</v>
      </c>
      <c r="B51">
        <v>1.4901652987233515E-3</v>
      </c>
      <c r="D51">
        <v>0.81123457617835215</v>
      </c>
      <c r="E51">
        <v>3.1581096164378826E-3</v>
      </c>
    </row>
    <row r="52" spans="1:5" x14ac:dyDescent="0.25">
      <c r="A52">
        <v>64.59457250495835</v>
      </c>
      <c r="B52">
        <v>5</v>
      </c>
      <c r="D52">
        <v>17.190321400063912</v>
      </c>
      <c r="E52">
        <v>4</v>
      </c>
    </row>
    <row r="53" spans="1:5" x14ac:dyDescent="0.25">
      <c r="A53">
        <v>1.4343823083632279E-4</v>
      </c>
      <c r="B53">
        <v>1.1102963087596277E-5</v>
      </c>
      <c r="D53">
        <v>1.7145035818061754E-4</v>
      </c>
      <c r="E53">
        <v>3.9894625397749715E-5</v>
      </c>
    </row>
    <row r="54" spans="1:5" x14ac:dyDescent="0.25">
      <c r="A54" t="s">
        <v>19</v>
      </c>
      <c r="B54" t="s">
        <v>20</v>
      </c>
      <c r="D54" t="s">
        <v>19</v>
      </c>
      <c r="E54" t="s">
        <v>20</v>
      </c>
    </row>
    <row r="55" spans="1:5" x14ac:dyDescent="0.25">
      <c r="A55" s="1">
        <f>A50</f>
        <v>9.2965326862321207E-7</v>
      </c>
      <c r="B55" s="1">
        <f>A55/E9</f>
        <v>25125764016843.57</v>
      </c>
      <c r="D55" s="1">
        <f>D50</f>
        <v>2.438276715498724E-6</v>
      </c>
      <c r="E55" s="1">
        <f>D55/E9</f>
        <v>65899370689154.703</v>
      </c>
    </row>
    <row r="56" spans="1:5" x14ac:dyDescent="0.25">
      <c r="B56" s="13">
        <v>30000000000000</v>
      </c>
      <c r="E56" s="13">
        <v>70000000000000</v>
      </c>
    </row>
    <row r="70" spans="1:5" x14ac:dyDescent="0.25">
      <c r="E70" s="1"/>
    </row>
    <row r="71" spans="1:5" x14ac:dyDescent="0.25">
      <c r="D71" s="6"/>
      <c r="E71" s="1"/>
    </row>
    <row r="72" spans="1:5" x14ac:dyDescent="0.25">
      <c r="D72" s="6"/>
      <c r="E72" s="1"/>
    </row>
    <row r="78" spans="1:5" x14ac:dyDescent="0.25">
      <c r="A78" s="3"/>
    </row>
    <row r="83" spans="2:2" x14ac:dyDescent="0.25">
      <c r="B83" s="1"/>
    </row>
    <row r="84" spans="2:2" x14ac:dyDescent="0.25">
      <c r="B84" s="1"/>
    </row>
    <row r="89" spans="2:2" x14ac:dyDescent="0.25">
      <c r="B89" s="1"/>
    </row>
    <row r="90" spans="2:2" x14ac:dyDescent="0.25">
      <c r="B90" s="1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Sarver</dc:creator>
  <cp:lastModifiedBy>Collette Sarver</cp:lastModifiedBy>
  <dcterms:created xsi:type="dcterms:W3CDTF">2023-12-13T21:21:30Z</dcterms:created>
  <dcterms:modified xsi:type="dcterms:W3CDTF">2025-10-01T01:32:40Z</dcterms:modified>
</cp:coreProperties>
</file>