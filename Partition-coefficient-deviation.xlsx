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ath\Documents\Research\Observing-laptop\Gobasic\"/>
    </mc:Choice>
  </mc:AlternateContent>
  <xr:revisionPtr revIDLastSave="0" documentId="13_ncr:1_{D85536A8-2B13-478D-BF11-4A437BEA10F4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H3OH" sheetId="1" r:id="rId1"/>
    <sheet name="CH3OD" sheetId="2" r:id="rId2"/>
    <sheet name="C2H5OH" sheetId="30" r:id="rId3"/>
    <sheet name="CH2OHCHO" sheetId="31" r:id="rId4"/>
    <sheet name="HDCO" sheetId="3" r:id="rId5"/>
    <sheet name="HCCCNv6" sheetId="4" r:id="rId6"/>
    <sheet name="HCCCN-15" sheetId="5" r:id="rId7"/>
    <sheet name="HCCCN" sheetId="10" r:id="rId8"/>
    <sheet name="H13CCCN" sheetId="6" r:id="rId9"/>
    <sheet name="HC13CCN" sheetId="7" r:id="rId10"/>
    <sheet name="HCC13CN" sheetId="8" r:id="rId11"/>
    <sheet name="O13CS" sheetId="11" r:id="rId12"/>
    <sheet name="S2Ov=0" sheetId="12" r:id="rId13"/>
    <sheet name="NH2OH" sheetId="13" r:id="rId14"/>
    <sheet name="HONO" sheetId="14" r:id="rId15"/>
    <sheet name="D2CS" sheetId="15" r:id="rId16"/>
    <sheet name="H2CS" sheetId="16" r:id="rId17"/>
    <sheet name="DCNv0" sheetId="17" r:id="rId18"/>
    <sheet name="13CH3CHO" sheetId="18" r:id="rId19"/>
    <sheet name="HC7Nv15" sheetId="19" r:id="rId20"/>
    <sheet name="CH3OCH2OH" sheetId="20" r:id="rId21"/>
    <sheet name="CH318OH" sheetId="21" r:id="rId22"/>
    <sheet name="DCCCN" sheetId="22" r:id="rId23"/>
    <sheet name="H2S" sheetId="23" r:id="rId24"/>
    <sheet name="C2H5CNv20" sheetId="24" r:id="rId25"/>
    <sheet name="g-C2H5SH" sheetId="25" r:id="rId26"/>
    <sheet name="C5O" sheetId="26" r:id="rId27"/>
    <sheet name="C3H" sheetId="27" r:id="rId28"/>
    <sheet name="cis-HCONHD" sheetId="28" r:id="rId29"/>
    <sheet name="CNCN" sheetId="29" r:id="rId30"/>
  </sheets>
  <definedNames>
    <definedName name="ExternalData_1" localSheetId="1" hidden="1">'CH3OD'!$A$2:$B$32</definedName>
    <definedName name="ExternalData_2" localSheetId="1" hidden="1">'CH3OD'!$F$2:$G$32</definedName>
    <definedName name="ExternalData_3" localSheetId="1" hidden="1">'CH3OD'!$K$2:$L$32</definedName>
    <definedName name="ExternalData_4" localSheetId="1" hidden="1">'CH3OD'!$P$2:$Q$32</definedName>
    <definedName name="ExternalData_5" localSheetId="1" hidden="1">'CH3OD'!$F$38:$G$68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1" l="1"/>
  <c r="D14" i="31" s="1"/>
  <c r="C15" i="31"/>
  <c r="E15" i="31" s="1"/>
  <c r="D15" i="31"/>
  <c r="C16" i="31"/>
  <c r="D16" i="31"/>
  <c r="E16" i="31"/>
  <c r="C13" i="31"/>
  <c r="E13" i="31" s="1"/>
  <c r="C12" i="31"/>
  <c r="E12" i="31" s="1"/>
  <c r="C11" i="31"/>
  <c r="E11" i="31" s="1"/>
  <c r="C10" i="31"/>
  <c r="E10" i="31" s="1"/>
  <c r="C9" i="31"/>
  <c r="E9" i="31" s="1"/>
  <c r="C8" i="31"/>
  <c r="D8" i="31" s="1"/>
  <c r="C7" i="31"/>
  <c r="D7" i="31" s="1"/>
  <c r="C6" i="31"/>
  <c r="D6" i="31" s="1"/>
  <c r="C5" i="31"/>
  <c r="E5" i="31" s="1"/>
  <c r="C4" i="31"/>
  <c r="E4" i="31" s="1"/>
  <c r="C3" i="31"/>
  <c r="D3" i="31" s="1"/>
  <c r="C2" i="31"/>
  <c r="E2" i="31" s="1"/>
  <c r="C11" i="30"/>
  <c r="D11" i="30" s="1"/>
  <c r="C12" i="30"/>
  <c r="E12" i="30" s="1"/>
  <c r="C13" i="30"/>
  <c r="E13" i="30" s="1"/>
  <c r="C10" i="30"/>
  <c r="E10" i="30" s="1"/>
  <c r="C9" i="30"/>
  <c r="E9" i="30" s="1"/>
  <c r="C8" i="30"/>
  <c r="E8" i="30" s="1"/>
  <c r="C7" i="30"/>
  <c r="E7" i="30" s="1"/>
  <c r="C6" i="30"/>
  <c r="E6" i="30" s="1"/>
  <c r="C5" i="30"/>
  <c r="E5" i="30" s="1"/>
  <c r="C4" i="30"/>
  <c r="E4" i="30" s="1"/>
  <c r="C3" i="30"/>
  <c r="E3" i="30" s="1"/>
  <c r="C2" i="30"/>
  <c r="E2" i="30" s="1"/>
  <c r="C8" i="29"/>
  <c r="D8" i="29" s="1"/>
  <c r="C7" i="29"/>
  <c r="E7" i="29" s="1"/>
  <c r="C6" i="29"/>
  <c r="E6" i="29" s="1"/>
  <c r="C5" i="29"/>
  <c r="E5" i="29" s="1"/>
  <c r="C4" i="29"/>
  <c r="D4" i="29" s="1"/>
  <c r="C3" i="29"/>
  <c r="D3" i="29" s="1"/>
  <c r="C2" i="29"/>
  <c r="D2" i="29" s="1"/>
  <c r="C9" i="28"/>
  <c r="D9" i="28" s="1"/>
  <c r="C10" i="28"/>
  <c r="D10" i="28" s="1"/>
  <c r="C8" i="28"/>
  <c r="E8" i="28" s="1"/>
  <c r="C7" i="28"/>
  <c r="D7" i="28" s="1"/>
  <c r="C6" i="28"/>
  <c r="D6" i="28" s="1"/>
  <c r="C5" i="28"/>
  <c r="D5" i="28" s="1"/>
  <c r="C4" i="28"/>
  <c r="E4" i="28" s="1"/>
  <c r="C3" i="28"/>
  <c r="E3" i="28" s="1"/>
  <c r="C2" i="28"/>
  <c r="D2" i="28" s="1"/>
  <c r="C8" i="27"/>
  <c r="E8" i="27" s="1"/>
  <c r="C7" i="27"/>
  <c r="E7" i="27" s="1"/>
  <c r="C6" i="27"/>
  <c r="E6" i="27" s="1"/>
  <c r="C5" i="27"/>
  <c r="D5" i="27" s="1"/>
  <c r="C4" i="27"/>
  <c r="E4" i="27" s="1"/>
  <c r="C3" i="27"/>
  <c r="D3" i="27" s="1"/>
  <c r="C2" i="27"/>
  <c r="E2" i="27" s="1"/>
  <c r="E8" i="26"/>
  <c r="C8" i="26"/>
  <c r="D8" i="26" s="1"/>
  <c r="C7" i="26"/>
  <c r="D7" i="26" s="1"/>
  <c r="C6" i="26"/>
  <c r="E6" i="26" s="1"/>
  <c r="C5" i="26"/>
  <c r="E5" i="26" s="1"/>
  <c r="C4" i="26"/>
  <c r="D4" i="26" s="1"/>
  <c r="E3" i="26"/>
  <c r="D3" i="26"/>
  <c r="C3" i="26"/>
  <c r="C2" i="26"/>
  <c r="D2" i="26" s="1"/>
  <c r="C8" i="25"/>
  <c r="E8" i="25" s="1"/>
  <c r="C7" i="25"/>
  <c r="E7" i="25" s="1"/>
  <c r="E6" i="25"/>
  <c r="D6" i="25"/>
  <c r="C6" i="25"/>
  <c r="C5" i="25"/>
  <c r="D5" i="25" s="1"/>
  <c r="E4" i="25"/>
  <c r="C4" i="25"/>
  <c r="D4" i="25" s="1"/>
  <c r="C3" i="25"/>
  <c r="E3" i="25" s="1"/>
  <c r="C2" i="25"/>
  <c r="E2" i="25" s="1"/>
  <c r="C9" i="24"/>
  <c r="D9" i="24" s="1"/>
  <c r="C10" i="24"/>
  <c r="D10" i="24" s="1"/>
  <c r="C11" i="24"/>
  <c r="E11" i="24" s="1"/>
  <c r="C12" i="24"/>
  <c r="D12" i="24" s="1"/>
  <c r="C13" i="24"/>
  <c r="D13" i="24" s="1"/>
  <c r="C14" i="24"/>
  <c r="D14" i="24" s="1"/>
  <c r="C15" i="24"/>
  <c r="D15" i="24" s="1"/>
  <c r="C8" i="24"/>
  <c r="E8" i="24" s="1"/>
  <c r="E7" i="24"/>
  <c r="C7" i="24"/>
  <c r="D7" i="24" s="1"/>
  <c r="D6" i="24"/>
  <c r="C6" i="24"/>
  <c r="E6" i="24" s="1"/>
  <c r="C5" i="24"/>
  <c r="E5" i="24" s="1"/>
  <c r="C4" i="24"/>
  <c r="E4" i="24" s="1"/>
  <c r="E3" i="24"/>
  <c r="D3" i="24"/>
  <c r="C3" i="24"/>
  <c r="C2" i="24"/>
  <c r="E2" i="24" s="1"/>
  <c r="C8" i="23"/>
  <c r="E8" i="23" s="1"/>
  <c r="C7" i="23"/>
  <c r="E7" i="23" s="1"/>
  <c r="C6" i="23"/>
  <c r="E6" i="23" s="1"/>
  <c r="C5" i="23"/>
  <c r="E5" i="23" s="1"/>
  <c r="C4" i="23"/>
  <c r="D4" i="23" s="1"/>
  <c r="C3" i="23"/>
  <c r="E3" i="23" s="1"/>
  <c r="C2" i="23"/>
  <c r="E2" i="23" s="1"/>
  <c r="C9" i="22"/>
  <c r="D9" i="22" s="1"/>
  <c r="C8" i="22"/>
  <c r="E8" i="22" s="1"/>
  <c r="C7" i="22"/>
  <c r="E7" i="22" s="1"/>
  <c r="C6" i="22"/>
  <c r="D6" i="22" s="1"/>
  <c r="C5" i="22"/>
  <c r="E5" i="22" s="1"/>
  <c r="C4" i="22"/>
  <c r="E4" i="22" s="1"/>
  <c r="C3" i="22"/>
  <c r="E3" i="22" s="1"/>
  <c r="C2" i="22"/>
  <c r="E2" i="22" s="1"/>
  <c r="C8" i="21"/>
  <c r="D8" i="21" s="1"/>
  <c r="C7" i="21"/>
  <c r="D7" i="21" s="1"/>
  <c r="C6" i="21"/>
  <c r="E6" i="21" s="1"/>
  <c r="C5" i="21"/>
  <c r="D5" i="21" s="1"/>
  <c r="C4" i="21"/>
  <c r="E4" i="21" s="1"/>
  <c r="C3" i="21"/>
  <c r="D3" i="21" s="1"/>
  <c r="C2" i="21"/>
  <c r="D2" i="21" s="1"/>
  <c r="C9" i="20"/>
  <c r="D9" i="20" s="1"/>
  <c r="C10" i="20"/>
  <c r="D10" i="20" s="1"/>
  <c r="C8" i="20"/>
  <c r="E8" i="20" s="1"/>
  <c r="C7" i="20"/>
  <c r="E7" i="20" s="1"/>
  <c r="C6" i="20"/>
  <c r="E6" i="20" s="1"/>
  <c r="C5" i="20"/>
  <c r="E5" i="20" s="1"/>
  <c r="C4" i="20"/>
  <c r="E4" i="20" s="1"/>
  <c r="C3" i="20"/>
  <c r="D3" i="20" s="1"/>
  <c r="C2" i="20"/>
  <c r="E2" i="20" s="1"/>
  <c r="C8" i="19"/>
  <c r="E8" i="19" s="1"/>
  <c r="C7" i="19"/>
  <c r="E7" i="19" s="1"/>
  <c r="C6" i="19"/>
  <c r="E6" i="19" s="1"/>
  <c r="C5" i="19"/>
  <c r="E5" i="19" s="1"/>
  <c r="C4" i="19"/>
  <c r="E4" i="19" s="1"/>
  <c r="C3" i="19"/>
  <c r="E3" i="19" s="1"/>
  <c r="C2" i="19"/>
  <c r="E2" i="19" s="1"/>
  <c r="C11" i="18"/>
  <c r="E11" i="18" s="1"/>
  <c r="C12" i="18"/>
  <c r="D12" i="18" s="1"/>
  <c r="C13" i="18"/>
  <c r="E13" i="18" s="1"/>
  <c r="C14" i="18"/>
  <c r="D14" i="18" s="1"/>
  <c r="C15" i="18"/>
  <c r="D15" i="18" s="1"/>
  <c r="C16" i="18"/>
  <c r="D16" i="18" s="1"/>
  <c r="C17" i="18"/>
  <c r="D17" i="18" s="1"/>
  <c r="C18" i="18"/>
  <c r="D18" i="18" s="1"/>
  <c r="C19" i="18"/>
  <c r="E19" i="18" s="1"/>
  <c r="C20" i="18"/>
  <c r="D20" i="18" s="1"/>
  <c r="C21" i="18"/>
  <c r="E21" i="18" s="1"/>
  <c r="C22" i="18"/>
  <c r="D22" i="18" s="1"/>
  <c r="C23" i="18"/>
  <c r="D23" i="18" s="1"/>
  <c r="C24" i="18"/>
  <c r="D24" i="18" s="1"/>
  <c r="C25" i="18"/>
  <c r="D25" i="18" s="1"/>
  <c r="C26" i="18"/>
  <c r="D26" i="18" s="1"/>
  <c r="C27" i="18"/>
  <c r="E27" i="18" s="1"/>
  <c r="C28" i="18"/>
  <c r="D28" i="18" s="1"/>
  <c r="C29" i="18"/>
  <c r="D29" i="18" s="1"/>
  <c r="C30" i="18"/>
  <c r="D30" i="18" s="1"/>
  <c r="C31" i="18"/>
  <c r="D31" i="18" s="1"/>
  <c r="C10" i="18"/>
  <c r="E10" i="18" s="1"/>
  <c r="C9" i="18"/>
  <c r="D9" i="18" s="1"/>
  <c r="C8" i="18"/>
  <c r="E8" i="18" s="1"/>
  <c r="C7" i="18"/>
  <c r="D7" i="18" s="1"/>
  <c r="C6" i="18"/>
  <c r="D6" i="18" s="1"/>
  <c r="C5" i="18"/>
  <c r="E5" i="18" s="1"/>
  <c r="C4" i="18"/>
  <c r="E4" i="18" s="1"/>
  <c r="C3" i="18"/>
  <c r="D3" i="18" s="1"/>
  <c r="C2" i="18"/>
  <c r="E2" i="18" s="1"/>
  <c r="E4" i="17"/>
  <c r="C10" i="17"/>
  <c r="D10" i="17" s="1"/>
  <c r="C9" i="17"/>
  <c r="E9" i="17" s="1"/>
  <c r="C8" i="17"/>
  <c r="E8" i="17" s="1"/>
  <c r="C7" i="17"/>
  <c r="E7" i="17" s="1"/>
  <c r="C6" i="17"/>
  <c r="E6" i="17" s="1"/>
  <c r="C5" i="17"/>
  <c r="E5" i="17" s="1"/>
  <c r="C4" i="17"/>
  <c r="C3" i="17"/>
  <c r="E3" i="17" s="1"/>
  <c r="C2" i="17"/>
  <c r="D2" i="17" s="1"/>
  <c r="C11" i="16"/>
  <c r="D11" i="16" s="1"/>
  <c r="C10" i="16"/>
  <c r="E10" i="16" s="1"/>
  <c r="C9" i="16"/>
  <c r="E9" i="16" s="1"/>
  <c r="C8" i="16"/>
  <c r="E8" i="16" s="1"/>
  <c r="C7" i="16"/>
  <c r="E7" i="16" s="1"/>
  <c r="C6" i="16"/>
  <c r="D6" i="16" s="1"/>
  <c r="C5" i="16"/>
  <c r="E5" i="16" s="1"/>
  <c r="C4" i="16"/>
  <c r="E4" i="16" s="1"/>
  <c r="C3" i="16"/>
  <c r="D3" i="16" s="1"/>
  <c r="C2" i="16"/>
  <c r="E2" i="16" s="1"/>
  <c r="C2" i="15"/>
  <c r="D2" i="15" s="1"/>
  <c r="C9" i="15"/>
  <c r="D9" i="15" s="1"/>
  <c r="C10" i="15"/>
  <c r="D10" i="15" s="1"/>
  <c r="C8" i="15"/>
  <c r="E8" i="15" s="1"/>
  <c r="C7" i="15"/>
  <c r="D7" i="15" s="1"/>
  <c r="C6" i="15"/>
  <c r="E6" i="15" s="1"/>
  <c r="C5" i="15"/>
  <c r="D5" i="15" s="1"/>
  <c r="C4" i="15"/>
  <c r="E4" i="15" s="1"/>
  <c r="C3" i="15"/>
  <c r="E3" i="15" s="1"/>
  <c r="C8" i="14"/>
  <c r="E8" i="14" s="1"/>
  <c r="C7" i="14"/>
  <c r="E7" i="14" s="1"/>
  <c r="C6" i="14"/>
  <c r="D6" i="14" s="1"/>
  <c r="C5" i="14"/>
  <c r="E5" i="14" s="1"/>
  <c r="C4" i="14"/>
  <c r="E4" i="14" s="1"/>
  <c r="C3" i="14"/>
  <c r="D3" i="14" s="1"/>
  <c r="C2" i="14"/>
  <c r="D2" i="14" s="1"/>
  <c r="C8" i="13"/>
  <c r="E8" i="13" s="1"/>
  <c r="C7" i="13"/>
  <c r="E7" i="13" s="1"/>
  <c r="C6" i="13"/>
  <c r="E6" i="13" s="1"/>
  <c r="C5" i="13"/>
  <c r="E5" i="13" s="1"/>
  <c r="C4" i="13"/>
  <c r="E4" i="13" s="1"/>
  <c r="C3" i="13"/>
  <c r="D3" i="13" s="1"/>
  <c r="E2" i="13"/>
  <c r="C2" i="13"/>
  <c r="D2" i="13" s="1"/>
  <c r="E8" i="12"/>
  <c r="C8" i="12"/>
  <c r="D8" i="12" s="1"/>
  <c r="C7" i="12"/>
  <c r="E7" i="12" s="1"/>
  <c r="C6" i="12"/>
  <c r="D6" i="12" s="1"/>
  <c r="C5" i="12"/>
  <c r="D5" i="12" s="1"/>
  <c r="C4" i="12"/>
  <c r="E4" i="12" s="1"/>
  <c r="C3" i="12"/>
  <c r="E3" i="12" s="1"/>
  <c r="C2" i="12"/>
  <c r="E2" i="12" s="1"/>
  <c r="C9" i="11"/>
  <c r="E9" i="11" s="1"/>
  <c r="C8" i="11"/>
  <c r="E8" i="11" s="1"/>
  <c r="C7" i="11"/>
  <c r="D7" i="11" s="1"/>
  <c r="C6" i="11"/>
  <c r="E6" i="11" s="1"/>
  <c r="C5" i="11"/>
  <c r="D5" i="11" s="1"/>
  <c r="C4" i="11"/>
  <c r="E4" i="11" s="1"/>
  <c r="C3" i="11"/>
  <c r="E3" i="11" s="1"/>
  <c r="C2" i="11"/>
  <c r="E2" i="11" s="1"/>
  <c r="C5" i="7"/>
  <c r="E5" i="7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E2" i="1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E13" i="5"/>
  <c r="E14" i="5"/>
  <c r="E15" i="5"/>
  <c r="E16" i="5"/>
  <c r="E17" i="5"/>
  <c r="E18" i="5"/>
  <c r="E19" i="5"/>
  <c r="E7" i="8"/>
  <c r="E9" i="7"/>
  <c r="E9" i="6"/>
  <c r="E8" i="6"/>
  <c r="E7" i="6"/>
  <c r="E6" i="6"/>
  <c r="E5" i="6"/>
  <c r="E4" i="6"/>
  <c r="E3" i="6"/>
  <c r="E2" i="6"/>
  <c r="E11" i="10"/>
  <c r="E10" i="10"/>
  <c r="E9" i="10"/>
  <c r="E8" i="10"/>
  <c r="E7" i="10"/>
  <c r="E6" i="10"/>
  <c r="E5" i="10"/>
  <c r="E4" i="10"/>
  <c r="E3" i="10"/>
  <c r="E2" i="10"/>
  <c r="E12" i="5"/>
  <c r="E9" i="5"/>
  <c r="E8" i="5"/>
  <c r="E7" i="5"/>
  <c r="E6" i="5"/>
  <c r="E5" i="5"/>
  <c r="E4" i="5"/>
  <c r="E3" i="5"/>
  <c r="E2" i="5"/>
  <c r="E5" i="4"/>
  <c r="E4" i="4"/>
  <c r="E3" i="4"/>
  <c r="E2" i="4"/>
  <c r="E10" i="3"/>
  <c r="E9" i="3"/>
  <c r="E8" i="3"/>
  <c r="E7" i="3"/>
  <c r="E6" i="3"/>
  <c r="E5" i="3"/>
  <c r="E4" i="3"/>
  <c r="E3" i="3"/>
  <c r="E2" i="3"/>
  <c r="E3" i="1"/>
  <c r="E4" i="1"/>
  <c r="E5" i="1"/>
  <c r="E6" i="1"/>
  <c r="E7" i="1"/>
  <c r="E8" i="1"/>
  <c r="E9" i="1"/>
  <c r="E10" i="1"/>
  <c r="E11" i="1"/>
  <c r="E12" i="1"/>
  <c r="C2" i="7"/>
  <c r="D2" i="7" s="1"/>
  <c r="C13" i="5"/>
  <c r="C14" i="5"/>
  <c r="D14" i="5" s="1"/>
  <c r="C15" i="5"/>
  <c r="C16" i="5"/>
  <c r="C17" i="5"/>
  <c r="D17" i="5" s="1"/>
  <c r="C18" i="5"/>
  <c r="C19" i="5"/>
  <c r="D19" i="5" s="1"/>
  <c r="C12" i="5"/>
  <c r="D12" i="5" s="1"/>
  <c r="D16" i="5"/>
  <c r="D10" i="10"/>
  <c r="D11" i="10"/>
  <c r="C10" i="10"/>
  <c r="C11" i="10"/>
  <c r="C9" i="10"/>
  <c r="C8" i="10"/>
  <c r="C7" i="10"/>
  <c r="C6" i="10"/>
  <c r="C5" i="10"/>
  <c r="C4" i="10"/>
  <c r="C3" i="10"/>
  <c r="C2" i="10"/>
  <c r="D2" i="10" s="1"/>
  <c r="D3" i="4"/>
  <c r="D4" i="4"/>
  <c r="D5" i="4"/>
  <c r="D2" i="4"/>
  <c r="H39" i="2"/>
  <c r="H40" i="2"/>
  <c r="H41" i="2"/>
  <c r="I41" i="2" s="1"/>
  <c r="H42" i="2"/>
  <c r="H43" i="2"/>
  <c r="H44" i="2"/>
  <c r="H45" i="2"/>
  <c r="I45" i="2" s="1"/>
  <c r="H46" i="2"/>
  <c r="H47" i="2"/>
  <c r="H48" i="2"/>
  <c r="H49" i="2"/>
  <c r="H50" i="2"/>
  <c r="H51" i="2"/>
  <c r="H52" i="2"/>
  <c r="H53" i="2"/>
  <c r="I53" i="2" s="1"/>
  <c r="H54" i="2"/>
  <c r="H55" i="2"/>
  <c r="H56" i="2"/>
  <c r="H57" i="2"/>
  <c r="I57" i="2" s="1"/>
  <c r="H58" i="2"/>
  <c r="H59" i="2"/>
  <c r="H60" i="2"/>
  <c r="H61" i="2"/>
  <c r="I61" i="2" s="1"/>
  <c r="H62" i="2"/>
  <c r="H63" i="2"/>
  <c r="H64" i="2"/>
  <c r="I64" i="2" s="1"/>
  <c r="H65" i="2"/>
  <c r="H66" i="2"/>
  <c r="H67" i="2"/>
  <c r="H68" i="2"/>
  <c r="I58" i="2"/>
  <c r="I55" i="2"/>
  <c r="I44" i="2"/>
  <c r="I43" i="2"/>
  <c r="I42" i="2"/>
  <c r="I39" i="2"/>
  <c r="R32" i="2"/>
  <c r="T32" i="2" s="1"/>
  <c r="R31" i="2"/>
  <c r="T31" i="2" s="1"/>
  <c r="R30" i="2"/>
  <c r="T30" i="2" s="1"/>
  <c r="R29" i="2"/>
  <c r="T29" i="2" s="1"/>
  <c r="R28" i="2"/>
  <c r="S28" i="2" s="1"/>
  <c r="R27" i="2"/>
  <c r="S27" i="2" s="1"/>
  <c r="R26" i="2"/>
  <c r="S26" i="2" s="1"/>
  <c r="R25" i="2"/>
  <c r="T25" i="2" s="1"/>
  <c r="R24" i="2"/>
  <c r="S24" i="2" s="1"/>
  <c r="R23" i="2"/>
  <c r="T23" i="2" s="1"/>
  <c r="R22" i="2"/>
  <c r="T22" i="2" s="1"/>
  <c r="R21" i="2"/>
  <c r="T21" i="2" s="1"/>
  <c r="R20" i="2"/>
  <c r="T20" i="2" s="1"/>
  <c r="R19" i="2"/>
  <c r="T19" i="2" s="1"/>
  <c r="R18" i="2"/>
  <c r="S18" i="2" s="1"/>
  <c r="R17" i="2"/>
  <c r="T17" i="2" s="1"/>
  <c r="R16" i="2"/>
  <c r="T16" i="2" s="1"/>
  <c r="R15" i="2"/>
  <c r="T15" i="2" s="1"/>
  <c r="R14" i="2"/>
  <c r="T14" i="2" s="1"/>
  <c r="R13" i="2"/>
  <c r="T13" i="2" s="1"/>
  <c r="R12" i="2"/>
  <c r="T12" i="2" s="1"/>
  <c r="R11" i="2"/>
  <c r="S11" i="2" s="1"/>
  <c r="R10" i="2"/>
  <c r="T10" i="2" s="1"/>
  <c r="R9" i="2"/>
  <c r="T9" i="2" s="1"/>
  <c r="R8" i="2"/>
  <c r="T8" i="2" s="1"/>
  <c r="R7" i="2"/>
  <c r="S7" i="2" s="1"/>
  <c r="R6" i="2"/>
  <c r="T6" i="2" s="1"/>
  <c r="R5" i="2"/>
  <c r="T5" i="2" s="1"/>
  <c r="R4" i="2"/>
  <c r="T4" i="2" s="1"/>
  <c r="R3" i="2"/>
  <c r="T3" i="2" s="1"/>
  <c r="M32" i="2"/>
  <c r="M31" i="2"/>
  <c r="M30" i="2"/>
  <c r="M29" i="2"/>
  <c r="M28" i="2"/>
  <c r="N28" i="2" s="1"/>
  <c r="M27" i="2"/>
  <c r="N27" i="2" s="1"/>
  <c r="M26" i="2"/>
  <c r="N26" i="2" s="1"/>
  <c r="M25" i="2"/>
  <c r="M24" i="2"/>
  <c r="M23" i="2"/>
  <c r="M22" i="2"/>
  <c r="M21" i="2"/>
  <c r="M20" i="2"/>
  <c r="M19" i="2"/>
  <c r="M18" i="2"/>
  <c r="N18" i="2" s="1"/>
  <c r="M17" i="2"/>
  <c r="N17" i="2" s="1"/>
  <c r="M16" i="2"/>
  <c r="M15" i="2"/>
  <c r="M14" i="2"/>
  <c r="M13" i="2"/>
  <c r="N13" i="2" s="1"/>
  <c r="M12" i="2"/>
  <c r="M11" i="2"/>
  <c r="N11" i="2" s="1"/>
  <c r="M10" i="2"/>
  <c r="M9" i="2"/>
  <c r="M8" i="2"/>
  <c r="M7" i="2"/>
  <c r="M6" i="2"/>
  <c r="N6" i="2" s="1"/>
  <c r="M5" i="2"/>
  <c r="N5" i="2" s="1"/>
  <c r="M4" i="2"/>
  <c r="N4" i="2" s="1"/>
  <c r="M3" i="2"/>
  <c r="N3" i="2" s="1"/>
  <c r="H32" i="2"/>
  <c r="J32" i="2" s="1"/>
  <c r="H31" i="2"/>
  <c r="J31" i="2" s="1"/>
  <c r="H30" i="2"/>
  <c r="J30" i="2" s="1"/>
  <c r="H29" i="2"/>
  <c r="J29" i="2" s="1"/>
  <c r="H28" i="2"/>
  <c r="I28" i="2" s="1"/>
  <c r="H27" i="2"/>
  <c r="I27" i="2" s="1"/>
  <c r="H26" i="2"/>
  <c r="J26" i="2" s="1"/>
  <c r="H25" i="2"/>
  <c r="J25" i="2" s="1"/>
  <c r="H24" i="2"/>
  <c r="I24" i="2" s="1"/>
  <c r="H23" i="2"/>
  <c r="J23" i="2" s="1"/>
  <c r="H22" i="2"/>
  <c r="J22" i="2" s="1"/>
  <c r="H21" i="2"/>
  <c r="I21" i="2" s="1"/>
  <c r="H20" i="2"/>
  <c r="J20" i="2" s="1"/>
  <c r="H19" i="2"/>
  <c r="J19" i="2" s="1"/>
  <c r="H18" i="2"/>
  <c r="I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I11" i="2" s="1"/>
  <c r="H10" i="2"/>
  <c r="J10" i="2" s="1"/>
  <c r="H9" i="2"/>
  <c r="J9" i="2" s="1"/>
  <c r="H8" i="2"/>
  <c r="J8" i="2" s="1"/>
  <c r="H7" i="2"/>
  <c r="J7" i="2" s="1"/>
  <c r="H6" i="2"/>
  <c r="J6" i="2" s="1"/>
  <c r="H5" i="2"/>
  <c r="I5" i="2" s="1"/>
  <c r="H4" i="2"/>
  <c r="J4" i="2" s="1"/>
  <c r="H3" i="2"/>
  <c r="I3" i="2" s="1"/>
  <c r="C3" i="2"/>
  <c r="C4" i="2"/>
  <c r="C5" i="2"/>
  <c r="C6" i="2"/>
  <c r="C7" i="2"/>
  <c r="E7" i="2" s="1"/>
  <c r="C8" i="2"/>
  <c r="E8" i="2" s="1"/>
  <c r="C9" i="2"/>
  <c r="D9" i="2" s="1"/>
  <c r="C10" i="2"/>
  <c r="D10" i="2" s="1"/>
  <c r="C11" i="2"/>
  <c r="D11" i="2" s="1"/>
  <c r="C12" i="2"/>
  <c r="D12" i="2" s="1"/>
  <c r="C13" i="2"/>
  <c r="E13" i="2" s="1"/>
  <c r="C14" i="2"/>
  <c r="E14" i="2" s="1"/>
  <c r="C15" i="2"/>
  <c r="C16" i="2"/>
  <c r="D16" i="2" s="1"/>
  <c r="C17" i="2"/>
  <c r="D17" i="2" s="1"/>
  <c r="C18" i="2"/>
  <c r="E18" i="2" s="1"/>
  <c r="C19" i="2"/>
  <c r="C20" i="2"/>
  <c r="C21" i="2"/>
  <c r="C22" i="2"/>
  <c r="C23" i="2"/>
  <c r="E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E29" i="2" s="1"/>
  <c r="C30" i="2"/>
  <c r="E30" i="2" s="1"/>
  <c r="C31" i="2"/>
  <c r="D31" i="2" s="1"/>
  <c r="C32" i="2"/>
  <c r="D32" i="2" s="1"/>
  <c r="D15" i="2"/>
  <c r="D19" i="2"/>
  <c r="E5" i="2"/>
  <c r="C9" i="8"/>
  <c r="D9" i="8" s="1"/>
  <c r="C8" i="8"/>
  <c r="D8" i="8" s="1"/>
  <c r="C7" i="8"/>
  <c r="D7" i="8" s="1"/>
  <c r="C6" i="8"/>
  <c r="D6" i="8" s="1"/>
  <c r="C5" i="8"/>
  <c r="D5" i="8" s="1"/>
  <c r="C4" i="8"/>
  <c r="D4" i="8" s="1"/>
  <c r="C3" i="8"/>
  <c r="D3" i="8" s="1"/>
  <c r="C2" i="8"/>
  <c r="D2" i="8" s="1"/>
  <c r="C9" i="7"/>
  <c r="D9" i="7" s="1"/>
  <c r="C8" i="7"/>
  <c r="D8" i="7" s="1"/>
  <c r="C7" i="7"/>
  <c r="D7" i="7" s="1"/>
  <c r="C6" i="7"/>
  <c r="D6" i="7" s="1"/>
  <c r="C4" i="7"/>
  <c r="D4" i="7" s="1"/>
  <c r="C3" i="7"/>
  <c r="D3" i="7" s="1"/>
  <c r="C6" i="6"/>
  <c r="D6" i="6" s="1"/>
  <c r="C7" i="6"/>
  <c r="D7" i="6" s="1"/>
  <c r="C8" i="6"/>
  <c r="D8" i="6" s="1"/>
  <c r="C9" i="6"/>
  <c r="D9" i="6" s="1"/>
  <c r="C5" i="6"/>
  <c r="D5" i="6" s="1"/>
  <c r="C4" i="6"/>
  <c r="D4" i="6" s="1"/>
  <c r="C3" i="6"/>
  <c r="D3" i="6" s="1"/>
  <c r="C2" i="6"/>
  <c r="D2" i="6" s="1"/>
  <c r="C6" i="5"/>
  <c r="D6" i="5" s="1"/>
  <c r="C7" i="5"/>
  <c r="D7" i="5" s="1"/>
  <c r="C8" i="5"/>
  <c r="D8" i="5" s="1"/>
  <c r="C9" i="5"/>
  <c r="D9" i="5" s="1"/>
  <c r="C5" i="5"/>
  <c r="D5" i="5" s="1"/>
  <c r="C4" i="5"/>
  <c r="D4" i="5" s="1"/>
  <c r="C3" i="5"/>
  <c r="D3" i="5" s="1"/>
  <c r="C2" i="5"/>
  <c r="D2" i="5" s="1"/>
  <c r="C5" i="4"/>
  <c r="C4" i="4"/>
  <c r="C3" i="4"/>
  <c r="C2" i="4"/>
  <c r="D4" i="3"/>
  <c r="D8" i="3"/>
  <c r="C3" i="3"/>
  <c r="D3" i="3" s="1"/>
  <c r="C4" i="3"/>
  <c r="C5" i="3"/>
  <c r="D5" i="3" s="1"/>
  <c r="C6" i="3"/>
  <c r="D6" i="3" s="1"/>
  <c r="C7" i="3"/>
  <c r="D7" i="3" s="1"/>
  <c r="C8" i="3"/>
  <c r="C9" i="3"/>
  <c r="D9" i="3" s="1"/>
  <c r="C10" i="3"/>
  <c r="D10" i="3" s="1"/>
  <c r="C2" i="3"/>
  <c r="D2" i="3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D3" i="2"/>
  <c r="E4" i="2"/>
  <c r="D6" i="2"/>
  <c r="E20" i="2"/>
  <c r="E21" i="2"/>
  <c r="D22" i="2"/>
  <c r="E14" i="31" l="1"/>
  <c r="E6" i="31"/>
  <c r="E7" i="31"/>
  <c r="E3" i="31"/>
  <c r="D2" i="31"/>
  <c r="D10" i="31"/>
  <c r="E8" i="31"/>
  <c r="D11" i="31"/>
  <c r="D9" i="31"/>
  <c r="D4" i="31"/>
  <c r="D12" i="31"/>
  <c r="D5" i="31"/>
  <c r="D13" i="31"/>
  <c r="D3" i="30"/>
  <c r="D7" i="30"/>
  <c r="D4" i="30"/>
  <c r="D5" i="30"/>
  <c r="D6" i="30"/>
  <c r="D13" i="30"/>
  <c r="D12" i="30"/>
  <c r="E11" i="30"/>
  <c r="D8" i="30"/>
  <c r="D9" i="30"/>
  <c r="D2" i="30"/>
  <c r="D10" i="30"/>
  <c r="D5" i="29"/>
  <c r="D7" i="29"/>
  <c r="E4" i="29"/>
  <c r="E2" i="29"/>
  <c r="E8" i="29"/>
  <c r="E3" i="29"/>
  <c r="D6" i="29"/>
  <c r="E2" i="28"/>
  <c r="E6" i="28"/>
  <c r="E7" i="28"/>
  <c r="E10" i="28"/>
  <c r="E9" i="28"/>
  <c r="E5" i="28"/>
  <c r="D8" i="28"/>
  <c r="D3" i="28"/>
  <c r="D4" i="28"/>
  <c r="D4" i="27"/>
  <c r="E3" i="27"/>
  <c r="E5" i="27"/>
  <c r="D2" i="27"/>
  <c r="D6" i="27"/>
  <c r="D8" i="27"/>
  <c r="D7" i="27"/>
  <c r="E7" i="26"/>
  <c r="E4" i="26"/>
  <c r="D6" i="26"/>
  <c r="E2" i="26"/>
  <c r="D5" i="26"/>
  <c r="D3" i="25"/>
  <c r="D7" i="25"/>
  <c r="E5" i="25"/>
  <c r="D8" i="25"/>
  <c r="D2" i="25"/>
  <c r="E12" i="24"/>
  <c r="E15" i="24"/>
  <c r="D11" i="24"/>
  <c r="D2" i="24"/>
  <c r="E10" i="24"/>
  <c r="E13" i="24"/>
  <c r="E9" i="24"/>
  <c r="E14" i="24"/>
  <c r="D4" i="24"/>
  <c r="D5" i="24"/>
  <c r="D8" i="24"/>
  <c r="E4" i="23"/>
  <c r="D5" i="23"/>
  <c r="D6" i="23"/>
  <c r="D3" i="23"/>
  <c r="D7" i="23"/>
  <c r="D2" i="23"/>
  <c r="D8" i="23"/>
  <c r="D4" i="22"/>
  <c r="E6" i="22"/>
  <c r="E9" i="22"/>
  <c r="D7" i="22"/>
  <c r="D2" i="22"/>
  <c r="D5" i="22"/>
  <c r="D8" i="22"/>
  <c r="D3" i="22"/>
  <c r="E3" i="21"/>
  <c r="E2" i="21"/>
  <c r="D4" i="21"/>
  <c r="E8" i="21"/>
  <c r="E7" i="21"/>
  <c r="E5" i="21"/>
  <c r="D6" i="21"/>
  <c r="D2" i="20"/>
  <c r="E3" i="20"/>
  <c r="D5" i="20"/>
  <c r="D4" i="20"/>
  <c r="D8" i="20"/>
  <c r="E10" i="20"/>
  <c r="E9" i="20"/>
  <c r="D6" i="20"/>
  <c r="D7" i="20"/>
  <c r="D2" i="19"/>
  <c r="D7" i="19"/>
  <c r="D5" i="19"/>
  <c r="D8" i="19"/>
  <c r="D4" i="19"/>
  <c r="D3" i="19"/>
  <c r="D6" i="19"/>
  <c r="D21" i="18"/>
  <c r="D27" i="18"/>
  <c r="E16" i="18"/>
  <c r="E20" i="18"/>
  <c r="E29" i="18"/>
  <c r="E7" i="18"/>
  <c r="E28" i="18"/>
  <c r="E6" i="18"/>
  <c r="E24" i="18"/>
  <c r="E17" i="18"/>
  <c r="D13" i="18"/>
  <c r="E25" i="18"/>
  <c r="D10" i="18"/>
  <c r="D2" i="18"/>
  <c r="E23" i="18"/>
  <c r="D19" i="18"/>
  <c r="E12" i="18"/>
  <c r="E15" i="18"/>
  <c r="E3" i="18"/>
  <c r="D11" i="18"/>
  <c r="E26" i="18"/>
  <c r="E18" i="18"/>
  <c r="E31" i="18"/>
  <c r="E30" i="18"/>
  <c r="E22" i="18"/>
  <c r="E14" i="18"/>
  <c r="D5" i="18"/>
  <c r="D8" i="18"/>
  <c r="D4" i="18"/>
  <c r="E9" i="18"/>
  <c r="D5" i="17"/>
  <c r="E10" i="17"/>
  <c r="E2" i="17"/>
  <c r="D8" i="17"/>
  <c r="D3" i="17"/>
  <c r="D6" i="17"/>
  <c r="D9" i="17"/>
  <c r="D4" i="17"/>
  <c r="D7" i="17"/>
  <c r="D8" i="16"/>
  <c r="E6" i="16"/>
  <c r="E3" i="16"/>
  <c r="D5" i="16"/>
  <c r="E11" i="16"/>
  <c r="D9" i="16"/>
  <c r="D4" i="16"/>
  <c r="D7" i="16"/>
  <c r="D2" i="16"/>
  <c r="D10" i="16"/>
  <c r="E2" i="15"/>
  <c r="D4" i="15"/>
  <c r="D8" i="15"/>
  <c r="E10" i="15"/>
  <c r="E5" i="15"/>
  <c r="E9" i="15"/>
  <c r="D3" i="15"/>
  <c r="D6" i="15"/>
  <c r="E7" i="15"/>
  <c r="E3" i="14"/>
  <c r="E6" i="14"/>
  <c r="D4" i="14"/>
  <c r="D7" i="14"/>
  <c r="E2" i="14"/>
  <c r="D5" i="14"/>
  <c r="D8" i="14"/>
  <c r="D6" i="13"/>
  <c r="E3" i="13"/>
  <c r="D4" i="13"/>
  <c r="D7" i="13"/>
  <c r="D5" i="13"/>
  <c r="D8" i="13"/>
  <c r="E5" i="12"/>
  <c r="E6" i="12"/>
  <c r="D4" i="12"/>
  <c r="D7" i="12"/>
  <c r="D2" i="12"/>
  <c r="D3" i="12"/>
  <c r="E5" i="11"/>
  <c r="D2" i="11"/>
  <c r="E7" i="11"/>
  <c r="D8" i="11"/>
  <c r="D3" i="11"/>
  <c r="D6" i="11"/>
  <c r="D9" i="11"/>
  <c r="D4" i="11"/>
  <c r="E8" i="8"/>
  <c r="E9" i="8"/>
  <c r="E2" i="8"/>
  <c r="E3" i="8"/>
  <c r="E4" i="8"/>
  <c r="E5" i="8"/>
  <c r="E6" i="8"/>
  <c r="E3" i="7"/>
  <c r="E4" i="7"/>
  <c r="E6" i="7"/>
  <c r="E2" i="7"/>
  <c r="E7" i="7"/>
  <c r="E8" i="7"/>
  <c r="D5" i="7"/>
  <c r="D13" i="5"/>
  <c r="D15" i="5"/>
  <c r="D18" i="5"/>
  <c r="D4" i="10"/>
  <c r="D6" i="10"/>
  <c r="D7" i="10"/>
  <c r="D5" i="10"/>
  <c r="D8" i="10"/>
  <c r="D3" i="10"/>
  <c r="D9" i="10"/>
  <c r="I47" i="2"/>
  <c r="E25" i="2"/>
  <c r="I51" i="2"/>
  <c r="I62" i="2"/>
  <c r="I63" i="2"/>
  <c r="I59" i="2"/>
  <c r="I54" i="2"/>
  <c r="I49" i="2"/>
  <c r="I65" i="2"/>
  <c r="I48" i="2"/>
  <c r="I60" i="2"/>
  <c r="I50" i="2"/>
  <c r="I66" i="2"/>
  <c r="I40" i="2"/>
  <c r="I56" i="2"/>
  <c r="I67" i="2"/>
  <c r="I46" i="2"/>
  <c r="I52" i="2"/>
  <c r="I68" i="2"/>
  <c r="S22" i="2"/>
  <c r="S10" i="2"/>
  <c r="T24" i="2"/>
  <c r="T11" i="2"/>
  <c r="S3" i="2"/>
  <c r="S25" i="2"/>
  <c r="T26" i="2"/>
  <c r="S6" i="2"/>
  <c r="T27" i="2"/>
  <c r="S19" i="2"/>
  <c r="S9" i="2"/>
  <c r="S17" i="2"/>
  <c r="S23" i="2"/>
  <c r="T28" i="2"/>
  <c r="S13" i="2"/>
  <c r="T18" i="2"/>
  <c r="S29" i="2"/>
  <c r="S12" i="2"/>
  <c r="S8" i="2"/>
  <c r="S14" i="2"/>
  <c r="S30" i="2"/>
  <c r="T7" i="2"/>
  <c r="S4" i="2"/>
  <c r="S20" i="2"/>
  <c r="S15" i="2"/>
  <c r="S31" i="2"/>
  <c r="S5" i="2"/>
  <c r="S21" i="2"/>
  <c r="S16" i="2"/>
  <c r="S32" i="2"/>
  <c r="N22" i="2"/>
  <c r="N25" i="2"/>
  <c r="N19" i="2"/>
  <c r="N9" i="2"/>
  <c r="N21" i="2"/>
  <c r="N10" i="2"/>
  <c r="N23" i="2"/>
  <c r="N29" i="2"/>
  <c r="N12" i="2"/>
  <c r="N8" i="2"/>
  <c r="N24" i="2"/>
  <c r="N7" i="2"/>
  <c r="N14" i="2"/>
  <c r="N30" i="2"/>
  <c r="N20" i="2"/>
  <c r="N15" i="2"/>
  <c r="N31" i="2"/>
  <c r="N16" i="2"/>
  <c r="N32" i="2"/>
  <c r="J21" i="2"/>
  <c r="I22" i="2"/>
  <c r="J24" i="2"/>
  <c r="J5" i="2"/>
  <c r="J11" i="2"/>
  <c r="I6" i="2"/>
  <c r="I19" i="2"/>
  <c r="J27" i="2"/>
  <c r="I20" i="2"/>
  <c r="I4" i="2"/>
  <c r="I23" i="2"/>
  <c r="J28" i="2"/>
  <c r="I17" i="2"/>
  <c r="I13" i="2"/>
  <c r="J18" i="2"/>
  <c r="I29" i="2"/>
  <c r="I8" i="2"/>
  <c r="I12" i="2"/>
  <c r="I14" i="2"/>
  <c r="I30" i="2"/>
  <c r="I7" i="2"/>
  <c r="J3" i="2"/>
  <c r="I9" i="2"/>
  <c r="I25" i="2"/>
  <c r="I15" i="2"/>
  <c r="I31" i="2"/>
  <c r="I10" i="2"/>
  <c r="I26" i="2"/>
  <c r="I16" i="2"/>
  <c r="I32" i="2"/>
  <c r="E24" i="2"/>
  <c r="E22" i="2"/>
  <c r="E17" i="2"/>
  <c r="D14" i="2"/>
  <c r="D30" i="2"/>
  <c r="E9" i="2"/>
  <c r="E6" i="2"/>
  <c r="D7" i="2"/>
  <c r="D21" i="2"/>
  <c r="E28" i="2"/>
  <c r="D20" i="2"/>
  <c r="E12" i="2"/>
  <c r="D5" i="2"/>
  <c r="D13" i="2"/>
  <c r="D4" i="2"/>
  <c r="D29" i="2"/>
  <c r="E16" i="2"/>
  <c r="E15" i="2"/>
  <c r="D23" i="2"/>
  <c r="E32" i="2"/>
  <c r="D8" i="2"/>
  <c r="E31" i="2"/>
  <c r="E27" i="2"/>
  <c r="E19" i="2"/>
  <c r="E11" i="2"/>
  <c r="E3" i="2"/>
  <c r="E10" i="2"/>
  <c r="E26" i="2"/>
  <c r="D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3DF043-3FA9-4C4B-BE19-6D138323D4E8}" keepAlive="1" name="Query - CH3OD" description="Connection to the 'CH3OD' query in the workbook." type="5" refreshedVersion="8" background="1" saveData="1">
    <dbPr connection="Provider=Microsoft.Mashup.OleDb.1;Data Source=$Workbook$;Location=CH3OD;Extended Properties=&quot;&quot;" command="SELECT * FROM [CH3OD]"/>
  </connection>
  <connection id="2" xr16:uid="{B5339E2C-1B1F-40B3-A691-179B29695C65}" keepAlive="1" name="Query - CH3OD (2)" description="Connection to the 'CH3OD (2)' query in the workbook." type="5" refreshedVersion="8" background="1" saveData="1">
    <dbPr connection="Provider=Microsoft.Mashup.OleDb.1;Data Source=$Workbook$;Location=&quot;CH3OD (2)&quot;;Extended Properties=&quot;&quot;" command="SELECT * FROM [CH3OD (2)]"/>
  </connection>
  <connection id="3" xr16:uid="{2A72B691-052F-41C5-993F-6CC1452C4CB5}" keepAlive="1" name="Query - CH3OD (3)" description="Connection to the 'CH3OD (3)' query in the workbook." type="5" refreshedVersion="8" background="1" saveData="1">
    <dbPr connection="Provider=Microsoft.Mashup.OleDb.1;Data Source=$Workbook$;Location=&quot;CH3OD (3)&quot;;Extended Properties=&quot;&quot;" command="SELECT * FROM [CH3OD (3)]"/>
  </connection>
  <connection id="4" xr16:uid="{57999E5B-0CE5-48D9-B314-7C39AE608ED8}" keepAlive="1" name="Query - CH3OD (4)" description="Connection to the 'CH3OD (4)' query in the workbook." type="5" refreshedVersion="8" background="1" saveData="1">
    <dbPr connection="Provider=Microsoft.Mashup.OleDb.1;Data Source=$Workbook$;Location=&quot;CH3OD (4)&quot;;Extended Properties=&quot;&quot;" command="SELECT * FROM [CH3OD (4)]"/>
  </connection>
  <connection id="5" xr16:uid="{FEBC74F8-9473-46B9-8401-D5F09FCCC9DA}" keepAlive="1" name="Query - CH3OD (5)" description="Connection to the 'CH3OD (5)' query in the workbook." type="5" refreshedVersion="8" background="1" saveData="1">
    <dbPr connection="Provider=Microsoft.Mashup.OleDb.1;Data Source=$Workbook$;Location=&quot;CH3OD (5)&quot;;Extended Properties=&quot;&quot;" command="SELECT * FROM [CH3OD (5)]"/>
  </connection>
</connections>
</file>

<file path=xl/sharedStrings.xml><?xml version="1.0" encoding="utf-8"?>
<sst xmlns="http://schemas.openxmlformats.org/spreadsheetml/2006/main" count="368" uniqueCount="29">
  <si>
    <t>T</t>
  </si>
  <si>
    <t>Q(T)int</t>
  </si>
  <si>
    <t>Q(T)actual</t>
  </si>
  <si>
    <t>Percent Error</t>
  </si>
  <si>
    <t>delta %</t>
  </si>
  <si>
    <t>Q(T)</t>
  </si>
  <si>
    <t>Percent error</t>
  </si>
  <si>
    <t>A</t>
  </si>
  <si>
    <t>B</t>
  </si>
  <si>
    <t>C</t>
  </si>
  <si>
    <t>D</t>
  </si>
  <si>
    <t>old, 0.52%</t>
  </si>
  <si>
    <t>Coefficients</t>
  </si>
  <si>
    <t>Mathematica nonlinear model fit</t>
  </si>
  <si>
    <t>Python limfit package</t>
  </si>
  <si>
    <t>Initial guess</t>
  </si>
  <si>
    <t>N/A</t>
  </si>
  <si>
    <t>Igor Curve Fit: Levenberg-Marquardt algorithm</t>
  </si>
  <si>
    <t>Constraints</t>
  </si>
  <si>
    <t>0,inf</t>
  </si>
  <si>
    <t>none</t>
  </si>
  <si>
    <t>1,2</t>
  </si>
  <si>
    <t>Matlab curve fitter -not converged</t>
  </si>
  <si>
    <t>Matlab curve fitter -converged</t>
  </si>
  <si>
    <t>All fitting algorthims should find the minimum in chi-square multidimentional error space</t>
  </si>
  <si>
    <t>old values</t>
  </si>
  <si>
    <t>this one</t>
  </si>
  <si>
    <t>Q(T)catalog</t>
  </si>
  <si>
    <t>from CH318OHpar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</si>
</sst>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0"/>
    <numFmt numFmtId="166" formatCode="0.0"/>
    <numFmt numFmtId="167" formatCode="0.000"/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right"/>
    </xf>
    <xf numFmtId="168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/>
  </cellStyles>
  <dxfs count="15">
    <dxf>
      <numFmt numFmtId="165" formatCode="0.00000"/>
    </dxf>
    <dxf>
      <numFmt numFmtId="165" formatCode="0.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B87803-E45B-4D7E-BFC6-7C327D303187}" autoFormatId="16" applyNumberFormats="0" applyBorderFormats="0" applyFontFormats="0" applyPatternFormats="0" applyAlignmentFormats="0" applyWidthHeightFormats="0">
  <queryTableRefresh nextId="8" unboundColumnsRight="3">
    <queryTableFields count="5">
      <queryTableField id="2" name="Column2" tableColumnId="2"/>
      <queryTableField id="1" name="Column1" tableColumnId="1"/>
      <queryTableField id="3" dataBound="0" tableColumnId="3"/>
      <queryTableField id="5" dataBound="0" tableColumnId="4"/>
      <queryTableField id="7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3E6CBCA-A2FA-4196-889B-AA8851A6873D}" autoFormatId="16" applyNumberFormats="0" applyBorderFormats="0" applyFontFormats="0" applyPatternFormats="0" applyAlignmentFormats="0" applyWidthHeightFormats="0">
  <queryTableRefresh nextId="8" unboundColumnsRight="3">
    <queryTableFields count="5">
      <queryTableField id="2" name="Column2" tableColumnId="2"/>
      <queryTableField id="1" name="Column1" tableColumnId="1"/>
      <queryTableField id="3" dataBound="0" tableColumnId="3"/>
      <queryTableField id="5" dataBound="0" tableColumnId="4"/>
      <queryTableField id="7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0695440-3B97-4F2C-B31E-5D539E1B8C46}" autoFormatId="16" applyNumberFormats="0" applyBorderFormats="0" applyFontFormats="0" applyPatternFormats="0" applyAlignmentFormats="0" applyWidthHeightFormats="0">
  <queryTableRefresh nextId="8" unboundColumnsRight="3">
    <queryTableFields count="5">
      <queryTableField id="2" name="Column2" tableColumnId="2"/>
      <queryTableField id="1" name="Column1" tableColumnId="1"/>
      <queryTableField id="3" dataBound="0" tableColumnId="3"/>
      <queryTableField id="5" dataBound="0" tableColumnId="4"/>
      <queryTableField id="7" dataBound="0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CC8A60D-9965-4851-A78A-5E7A64261DE0}" autoFormatId="16" applyNumberFormats="0" applyBorderFormats="0" applyFontFormats="0" applyPatternFormats="0" applyAlignmentFormats="0" applyWidthHeightFormats="0">
  <queryTableRefresh nextId="8" unboundColumnsRight="3">
    <queryTableFields count="5">
      <queryTableField id="2" name="Column2" tableColumnId="2"/>
      <queryTableField id="1" name="Column1" tableColumnId="1"/>
      <queryTableField id="3" dataBound="0" tableColumnId="3"/>
      <queryTableField id="5" dataBound="0" tableColumnId="4"/>
      <queryTableField id="7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4BDEF00-77F1-4237-90E7-49DBE408E32D}" autoFormatId="16" applyNumberFormats="0" applyBorderFormats="0" applyFontFormats="0" applyPatternFormats="0" applyAlignmentFormats="0" applyWidthHeightFormats="0">
  <queryTableRefresh nextId="8" unboundColumnsRight="3">
    <queryTableFields count="5">
      <queryTableField id="2" name="Column2" tableColumnId="2"/>
      <queryTableField id="1" name="Column1" tableColumnId="1"/>
      <queryTableField id="3" dataBound="0" tableColumnId="3"/>
      <queryTableField id="5" dataBound="0" tableColumnId="4"/>
      <queryTableField id="7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B8BFE-D8BB-40A2-B9DE-849BEB1A7FF1}" name="CH3OD" displayName="CH3OD" ref="A2:E32" tableType="queryTable" totalsRowShown="0">
  <autoFilter ref="A2:E32" xr:uid="{67EB8BFE-D8BB-40A2-B9DE-849BEB1A7FF1}"/>
  <tableColumns count="5">
    <tableColumn id="2" xr3:uid="{23BF4B90-36CF-4B00-A1C8-950482B218CF}" uniqueName="2" name="T" queryTableFieldId="2"/>
    <tableColumn id="1" xr3:uid="{19E9934E-CE33-4317-921A-58A15CEFBFBE}" uniqueName="1" name="Q(T)actual" queryTableFieldId="1"/>
    <tableColumn id="3" xr3:uid="{3C1C73DB-5334-489D-A9AF-58BB320BC557}" uniqueName="3" name="Q(T)int" queryTableFieldId="3" dataDxfId="14">
      <calculatedColumnFormula>B$34*CH3OD[[#This Row],[T]]^C$34*(D$34+EXP(E$34/CH3OD[[#This Row],[T]]))</calculatedColumnFormula>
    </tableColumn>
    <tableColumn id="4" xr3:uid="{DFE25E8D-C20B-418D-B8EA-41A24C8F7421}" uniqueName="4" name="Percent Error" queryTableFieldId="5" dataDxfId="13">
      <calculatedColumnFormula>ABS(((CH3OD[[#This Row],[Q(T)int]]-CH3OD[[#This Row],[Q(T)actual]]))/CH3OD[[#This Row],[Q(T)actual]])*100</calculatedColumnFormula>
    </tableColumn>
    <tableColumn id="6" xr3:uid="{2324D969-A43E-48F5-9646-217FC5D69022}" uniqueName="6" name="delta %" queryTableFieldId="7" dataDxfId="12">
      <calculatedColumnFormula>CH3OD[[#This Row],[Q(T)int]]/CH3OD[[#This Row],[Q(T)actual]]-1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A7F7D5-7EAA-4661-9216-865DDD801C03}" name="CH3OD3" displayName="CH3OD3" ref="F2:J32" tableType="queryTable" totalsRowShown="0">
  <autoFilter ref="F2:J32" xr:uid="{EAA7F7D5-7EAA-4661-9216-865DDD801C03}"/>
  <tableColumns count="5">
    <tableColumn id="2" xr3:uid="{328A134B-D449-4AF1-8113-60246AED1287}" uniqueName="2" name="T" queryTableFieldId="2"/>
    <tableColumn id="1" xr3:uid="{BBA755AE-4EA8-4C56-9705-F340CD9D06E4}" uniqueName="1" name="Q(T)actual" queryTableFieldId="1"/>
    <tableColumn id="3" xr3:uid="{E3F7FF15-DED9-4857-B98B-62C9BFCA34F6}" uniqueName="3" name="Q(T)int" queryTableFieldId="3" dataDxfId="11">
      <calculatedColumnFormula>G$34*CH3OD3[[#This Row],[T]]^H$34*(I$34+EXP(J$34/CH3OD3[[#This Row],[T]]))</calculatedColumnFormula>
    </tableColumn>
    <tableColumn id="4" xr3:uid="{C6263EC3-2A75-4E89-8B2E-85A4AD905FBB}" uniqueName="4" name="Percent Error" queryTableFieldId="5" dataDxfId="10">
      <calculatedColumnFormula>ABS(((CH3OD3[[#This Row],[Q(T)int]]-CH3OD3[[#This Row],[Q(T)actual]]))/CH3OD3[[#This Row],[Q(T)actual]])*100</calculatedColumnFormula>
    </tableColumn>
    <tableColumn id="6" xr3:uid="{919DCF93-C22A-42D2-87AB-153248219450}" uniqueName="6" name="delta %" queryTableFieldId="7" dataDxfId="9">
      <calculatedColumnFormula>CH3OD3[[#This Row],[Q(T)int]]/CH3OD3[[#This Row],[Q(T)actual]]-1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820061-C62A-49C8-BEAF-C87CC0BAFE7A}" name="CH3OD34" displayName="CH3OD34" ref="K2:O32" tableType="queryTable" totalsRowShown="0">
  <autoFilter ref="K2:O32" xr:uid="{9B820061-C62A-49C8-BEAF-C87CC0BAFE7A}"/>
  <tableColumns count="5">
    <tableColumn id="2" xr3:uid="{6F2B208E-7810-44C8-87AC-801CB3A245F1}" uniqueName="2" name="T" queryTableFieldId="2"/>
    <tableColumn id="1" xr3:uid="{28B60D73-D0B4-497B-B47F-6AECC0248CCF}" uniqueName="1" name="Q(T)actual" queryTableFieldId="1"/>
    <tableColumn id="3" xr3:uid="{A45F7D51-7887-4FA4-B6FC-2775BDEA2217}" uniqueName="3" name="Q(T)int" queryTableFieldId="3" dataDxfId="2">
      <calculatedColumnFormula>L$34*CH3OD34[[#This Row],[T]]^M$34*(N$34+EXP(O$34/CH3OD34[[#This Row],[T]]))</calculatedColumnFormula>
    </tableColumn>
    <tableColumn id="4" xr3:uid="{A924BEE0-8F5D-4F1B-B840-D82FF335AD18}" uniqueName="4" name="Percent Error" queryTableFieldId="5" dataDxfId="1">
      <calculatedColumnFormula>ABS(((CH3OD34[[#This Row],[Q(T)int]]-CH3OD34[[#This Row],[Q(T)actual]]))/CH3OD34[[#This Row],[Q(T)actual]])*100</calculatedColumnFormula>
    </tableColumn>
    <tableColumn id="6" xr3:uid="{E171DDDC-E4E9-4D3B-9172-5AF309D95F70}" uniqueName="6" name="delta %" queryTableFieldId="7" dataDxfId="0">
      <calculatedColumnFormula>(CH3OD34[[#This Row],[Q(T)int]]/CH3OD34[[#This Row],[Q(T)actual]]-1)*100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F819C1-F17C-4AD1-B8E6-FC03C34A6AF6}" name="CH3OD345" displayName="CH3OD345" ref="P2:T32" tableType="queryTable" totalsRowShown="0">
  <autoFilter ref="P2:T32" xr:uid="{7CF819C1-F17C-4AD1-B8E6-FC03C34A6AF6}"/>
  <tableColumns count="5">
    <tableColumn id="2" xr3:uid="{8B4FD49F-6C3B-4A0F-A6E6-3AA7DFE9AC71}" uniqueName="2" name="T" queryTableFieldId="2"/>
    <tableColumn id="1" xr3:uid="{4C2ACC42-09EC-442A-BC38-2FE035626544}" uniqueName="1" name="Q(T)actual" queryTableFieldId="1"/>
    <tableColumn id="3" xr3:uid="{92A04733-D51B-4F47-9706-C0D5298E864D}" uniqueName="3" name="Q(T)int" queryTableFieldId="3" dataDxfId="8">
      <calculatedColumnFormula>Q$34*CH3OD345[[#This Row],[T]]^R$34*(S$34+EXP(T$34/CH3OD345[[#This Row],[T]]))</calculatedColumnFormula>
    </tableColumn>
    <tableColumn id="4" xr3:uid="{A9B4D512-7026-4DB4-8955-5CD588797853}" uniqueName="4" name="Percent Error" queryTableFieldId="5" dataDxfId="7">
      <calculatedColumnFormula>ABS(((CH3OD345[[#This Row],[Q(T)int]]-CH3OD345[[#This Row],[Q(T)actual]]))/CH3OD345[[#This Row],[Q(T)actual]])*100</calculatedColumnFormula>
    </tableColumn>
    <tableColumn id="6" xr3:uid="{90881654-EB1C-4026-A350-0AB56AA14A18}" uniqueName="6" name="delta %" queryTableFieldId="7" dataDxfId="6">
      <calculatedColumnFormula>CH3OD345[[#This Row],[Q(T)int]]/CH3OD345[[#This Row],[Q(T)actual]]-1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57FAA3-E273-4A19-9A9B-8A7220390D2D}" name="CH3OD36" displayName="CH3OD36" ref="F38:J68" tableType="queryTable" totalsRowShown="0">
  <autoFilter ref="F38:J68" xr:uid="{8C57FAA3-E273-4A19-9A9B-8A7220390D2D}"/>
  <tableColumns count="5">
    <tableColumn id="2" xr3:uid="{E97C0F2B-78EE-4551-8610-03C2884A71B3}" uniqueName="2" name="T" queryTableFieldId="2"/>
    <tableColumn id="1" xr3:uid="{6D610BF0-F47F-4DE9-8BD0-CDCBE9217C37}" uniqueName="1" name="Q(T)actual" queryTableFieldId="1"/>
    <tableColumn id="3" xr3:uid="{D6E8E715-E6F5-4CD9-9D22-EFE67FBA85B1}" uniqueName="3" name="Q(T)int" queryTableFieldId="3" dataDxfId="5">
      <calculatedColumnFormula>G$70*CH3OD36[[#This Row],[T]]^H$70*(I$70+EXP(J$70/CH3OD36[[#This Row],[T]]))</calculatedColumnFormula>
    </tableColumn>
    <tableColumn id="4" xr3:uid="{1BD63E58-C032-4BEF-81AF-C04D9047D1BC}" uniqueName="4" name="Percent Error" queryTableFieldId="5" dataDxfId="4">
      <calculatedColumnFormula>ABS(((CH3OD36[[#This Row],[Q(T)int]]-CH3OD36[[#This Row],[Q(T)actual]]))/CH3OD36[[#This Row],[Q(T)actual]])*100</calculatedColumnFormula>
    </tableColumn>
    <tableColumn id="6" xr3:uid="{A28D6C62-8329-423C-909D-C9C86A34D860}" uniqueName="6" name="delta %" queryTableFieldId="7" dataDxfId="3">
      <calculatedColumnFormula>(CH3OD36[[#This Row],[Q(T)int]]/CH3OD36[[#This Row],[Q(T)actual]]-1)*100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D4" sqref="D4"/>
    </sheetView>
  </sheetViews>
  <sheetFormatPr defaultRowHeight="14.5" x14ac:dyDescent="0.35"/>
  <cols>
    <col min="4" max="4" width="12.363281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>
        <v>1000</v>
      </c>
      <c r="B2">
        <v>347799.0417</v>
      </c>
      <c r="C2">
        <f t="shared" ref="C2:C12" si="0">$F$2*A2^$G$2*($H$2+EXP($I$2/A2))</f>
        <v>388545.09467003215</v>
      </c>
      <c r="D2" s="10">
        <f t="shared" ref="D2:D12" si="1">ABS(B2-C2)/B2*100</f>
        <v>11.715401161219516</v>
      </c>
      <c r="E2">
        <f>((C2/B2)-1)*100</f>
        <v>11.715401161219518</v>
      </c>
      <c r="F2">
        <v>2.7024900000000001</v>
      </c>
      <c r="G2">
        <v>1.6689700000000001</v>
      </c>
      <c r="H2">
        <v>0.74</v>
      </c>
      <c r="I2">
        <v>-392.99</v>
      </c>
    </row>
    <row r="3" spans="1:9" x14ac:dyDescent="0.35">
      <c r="A3">
        <v>500</v>
      </c>
      <c r="B3">
        <v>102146.40889999999</v>
      </c>
      <c r="C3">
        <f t="shared" si="0"/>
        <v>103246.76627981651</v>
      </c>
      <c r="D3" s="10">
        <f t="shared" si="1"/>
        <v>1.0772355011459598</v>
      </c>
      <c r="E3">
        <f t="shared" ref="E3:E12" si="2">((C3/B3)-1)*100</f>
        <v>1.0772355011459567</v>
      </c>
    </row>
    <row r="4" spans="1:9" x14ac:dyDescent="0.35">
      <c r="A4">
        <v>300</v>
      </c>
      <c r="B4">
        <v>37027.3292</v>
      </c>
      <c r="C4">
        <f t="shared" si="0"/>
        <v>37175.174547387309</v>
      </c>
      <c r="D4" s="10">
        <f t="shared" si="1"/>
        <v>0.39928709572525339</v>
      </c>
      <c r="E4">
        <f t="shared" si="2"/>
        <v>0.39928709572525367</v>
      </c>
    </row>
    <row r="5" spans="1:9" x14ac:dyDescent="0.35">
      <c r="A5">
        <v>225</v>
      </c>
      <c r="B5">
        <v>20991.81</v>
      </c>
      <c r="C5">
        <f t="shared" si="0"/>
        <v>20825.923893118397</v>
      </c>
      <c r="D5" s="10">
        <f t="shared" si="1"/>
        <v>0.7902420366876608</v>
      </c>
      <c r="E5">
        <f t="shared" si="2"/>
        <v>-0.79024203668766058</v>
      </c>
    </row>
    <row r="6" spans="1:9" x14ac:dyDescent="0.35">
      <c r="A6">
        <v>150</v>
      </c>
      <c r="B6">
        <v>9750.0398000000005</v>
      </c>
      <c r="C6">
        <f t="shared" si="0"/>
        <v>9409.855237618669</v>
      </c>
      <c r="D6" s="10">
        <f t="shared" si="1"/>
        <v>3.4890581921658566</v>
      </c>
      <c r="E6">
        <f t="shared" si="2"/>
        <v>-3.4890581921658614</v>
      </c>
    </row>
    <row r="7" spans="1:9" x14ac:dyDescent="0.35">
      <c r="A7">
        <v>75</v>
      </c>
      <c r="B7">
        <v>2924.3022999999998</v>
      </c>
      <c r="C7">
        <f t="shared" si="0"/>
        <v>2713.4184588606317</v>
      </c>
      <c r="D7" s="10">
        <f t="shared" si="1"/>
        <v>7.2114241109535113</v>
      </c>
      <c r="E7">
        <f t="shared" si="2"/>
        <v>-7.2114241109535122</v>
      </c>
    </row>
    <row r="8" spans="1:9" x14ac:dyDescent="0.35">
      <c r="A8">
        <v>37.5</v>
      </c>
      <c r="B8">
        <v>920.96370000000002</v>
      </c>
      <c r="C8">
        <f t="shared" si="0"/>
        <v>847.27281372307982</v>
      </c>
      <c r="D8" s="10">
        <f t="shared" si="1"/>
        <v>8.0014973746435594</v>
      </c>
      <c r="E8">
        <f t="shared" si="2"/>
        <v>-8.0014973746435629</v>
      </c>
    </row>
    <row r="9" spans="1:9" x14ac:dyDescent="0.35">
      <c r="A9">
        <v>18.75</v>
      </c>
      <c r="B9">
        <v>274.988</v>
      </c>
      <c r="C9">
        <f t="shared" si="0"/>
        <v>266.43835818990806</v>
      </c>
      <c r="D9" s="10">
        <f t="shared" si="1"/>
        <v>3.1090963278731949</v>
      </c>
      <c r="E9">
        <f t="shared" si="2"/>
        <v>-3.1090963278731953</v>
      </c>
    </row>
    <row r="10" spans="1:9" x14ac:dyDescent="0.35">
      <c r="A10">
        <v>9.375</v>
      </c>
      <c r="B10">
        <v>78.173500000000004</v>
      </c>
      <c r="C10">
        <f t="shared" si="0"/>
        <v>83.788943906522718</v>
      </c>
      <c r="D10" s="10">
        <f t="shared" si="1"/>
        <v>7.1833088022446399</v>
      </c>
      <c r="E10">
        <f t="shared" si="2"/>
        <v>7.1833088022446479</v>
      </c>
    </row>
    <row r="11" spans="1:9" x14ac:dyDescent="0.35">
      <c r="A11">
        <v>5</v>
      </c>
      <c r="B11">
        <v>26.719000000000001</v>
      </c>
      <c r="C11">
        <f t="shared" si="0"/>
        <v>29.346464239573194</v>
      </c>
      <c r="D11" s="10">
        <f t="shared" si="1"/>
        <v>9.8336922773052606</v>
      </c>
      <c r="E11">
        <f t="shared" si="2"/>
        <v>9.8336922773052606</v>
      </c>
    </row>
    <row r="12" spans="1:9" x14ac:dyDescent="0.35">
      <c r="A12">
        <v>2.7250000000000001</v>
      </c>
      <c r="B12">
        <v>11.889900000000001</v>
      </c>
      <c r="C12">
        <f t="shared" si="0"/>
        <v>10.656373990991645</v>
      </c>
      <c r="D12" s="10">
        <f t="shared" si="1"/>
        <v>10.374570088969261</v>
      </c>
      <c r="E12">
        <f t="shared" si="2"/>
        <v>-10.374570088969259</v>
      </c>
    </row>
  </sheetData>
  <conditionalFormatting sqref="D2:D1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D16A-E11B-4424-A4A8-FD5D2C8A9D4C}">
  <dimension ref="A1:T72"/>
  <sheetViews>
    <sheetView topLeftCell="D16" workbookViewId="0">
      <selection activeCell="O28" sqref="O28"/>
    </sheetView>
  </sheetViews>
  <sheetFormatPr defaultRowHeight="14.5" x14ac:dyDescent="0.35"/>
  <cols>
    <col min="1" max="1" width="11.7265625" bestFit="1" customWidth="1"/>
    <col min="2" max="2" width="12" bestFit="1" customWidth="1"/>
    <col min="3" max="3" width="11.81640625" bestFit="1" customWidth="1"/>
    <col min="4" max="4" width="14.26953125" bestFit="1" customWidth="1"/>
    <col min="6" max="6" width="11.7265625" bestFit="1" customWidth="1"/>
    <col min="11" max="11" width="11.7265625" bestFit="1" customWidth="1"/>
    <col min="14" max="14" width="10.36328125" bestFit="1" customWidth="1"/>
    <col min="15" max="15" width="11" bestFit="1" customWidth="1"/>
    <col min="16" max="16" width="11.7265625" bestFit="1" customWidth="1"/>
  </cols>
  <sheetData>
    <row r="1" spans="1:20" x14ac:dyDescent="0.35">
      <c r="A1" s="13" t="s">
        <v>14</v>
      </c>
      <c r="B1" s="14"/>
      <c r="C1" s="14"/>
      <c r="D1" s="14"/>
      <c r="E1" s="15"/>
      <c r="F1" s="14" t="s">
        <v>22</v>
      </c>
      <c r="G1" s="14"/>
      <c r="H1" s="14"/>
      <c r="I1" s="14"/>
      <c r="J1" s="15"/>
      <c r="K1" s="14" t="s">
        <v>13</v>
      </c>
      <c r="L1" s="14"/>
      <c r="M1" s="14"/>
      <c r="N1" s="14"/>
      <c r="O1" s="15"/>
      <c r="P1" s="13" t="s">
        <v>17</v>
      </c>
      <c r="Q1" s="14"/>
      <c r="R1" s="14"/>
      <c r="S1" s="14"/>
      <c r="T1" s="15"/>
    </row>
    <row r="2" spans="1:20" x14ac:dyDescent="0.35">
      <c r="A2" s="3" t="s">
        <v>0</v>
      </c>
      <c r="B2" t="s">
        <v>2</v>
      </c>
      <c r="C2" t="s">
        <v>1</v>
      </c>
      <c r="D2" t="s">
        <v>3</v>
      </c>
      <c r="E2" s="4" t="s">
        <v>4</v>
      </c>
      <c r="F2" t="s">
        <v>0</v>
      </c>
      <c r="G2" t="s">
        <v>2</v>
      </c>
      <c r="H2" t="s">
        <v>1</v>
      </c>
      <c r="I2" t="s">
        <v>3</v>
      </c>
      <c r="J2" s="4" t="s">
        <v>4</v>
      </c>
      <c r="K2" t="s">
        <v>0</v>
      </c>
      <c r="L2" t="s">
        <v>2</v>
      </c>
      <c r="M2" t="s">
        <v>1</v>
      </c>
      <c r="N2" t="s">
        <v>3</v>
      </c>
      <c r="O2" s="4" t="s">
        <v>4</v>
      </c>
      <c r="P2" s="3" t="s">
        <v>0</v>
      </c>
      <c r="Q2" t="s">
        <v>2</v>
      </c>
      <c r="R2" t="s">
        <v>1</v>
      </c>
      <c r="S2" t="s">
        <v>3</v>
      </c>
      <c r="T2" s="4" t="s">
        <v>4</v>
      </c>
    </row>
    <row r="3" spans="1:20" x14ac:dyDescent="0.35">
      <c r="A3" s="3">
        <v>300</v>
      </c>
      <c r="B3">
        <v>12789.4</v>
      </c>
      <c r="C3">
        <f>B$34*CH3OD[[#This Row],[T]]^C$34*(D$34+EXP(E$34/CH3OD[[#This Row],[T]]))</f>
        <v>12767.954608864564</v>
      </c>
      <c r="D3">
        <f>ABS(((CH3OD[[#This Row],[Q(T)int]]-CH3OD[[#This Row],[Q(T)actual]]))/CH3OD[[#This Row],[Q(T)actual]])*100</f>
        <v>0.16768097905637314</v>
      </c>
      <c r="E3" s="4">
        <f>CH3OD[[#This Row],[Q(T)int]]/CH3OD[[#This Row],[Q(T)actual]]-1</f>
        <v>-1.6768097905637269E-3</v>
      </c>
      <c r="F3">
        <v>300</v>
      </c>
      <c r="G3">
        <v>12789.4</v>
      </c>
      <c r="H3">
        <f>G$34*CH3OD3[[#This Row],[T]]^H$34*(I$34+EXP(J$34/CH3OD3[[#This Row],[T]]))</f>
        <v>12324.139092744339</v>
      </c>
      <c r="I3">
        <f>ABS(((CH3OD3[[#This Row],[Q(T)int]]-CH3OD3[[#This Row],[Q(T)actual]]))/CH3OD3[[#This Row],[Q(T)actual]])*100</f>
        <v>3.6378634435990791</v>
      </c>
      <c r="J3" s="4">
        <f>CH3OD3[[#This Row],[Q(T)int]]/CH3OD3[[#This Row],[Q(T)actual]]-1</f>
        <v>-3.6378634435990764E-2</v>
      </c>
      <c r="K3">
        <v>300</v>
      </c>
      <c r="L3">
        <v>12789.4</v>
      </c>
      <c r="M3">
        <f>L$34*CH3OD34[[#This Row],[T]]^M$34*(N$34+EXP(O$34/CH3OD34[[#This Row],[T]]))</f>
        <v>12768.101587385352</v>
      </c>
      <c r="N3" s="2">
        <f>ABS(((CH3OD34[[#This Row],[Q(T)int]]-CH3OD34[[#This Row],[Q(T)actual]]))/CH3OD34[[#This Row],[Q(T)actual]])*100</f>
        <v>0.16653175766374914</v>
      </c>
      <c r="O3" s="16">
        <f>(CH3OD34[[#This Row],[Q(T)int]]/CH3OD34[[#This Row],[Q(T)actual]]-1)*100</f>
        <v>-0.16653175766374595</v>
      </c>
      <c r="P3" s="3">
        <v>300</v>
      </c>
      <c r="Q3">
        <v>12789.4</v>
      </c>
      <c r="R3">
        <f>Q$34*CH3OD345[[#This Row],[T]]^R$34*(S$34+EXP(T$34/CH3OD345[[#This Row],[T]]))</f>
        <v>12770.084830635074</v>
      </c>
      <c r="S3">
        <f>ABS(((CH3OD345[[#This Row],[Q(T)int]]-CH3OD345[[#This Row],[Q(T)actual]]))/CH3OD345[[#This Row],[Q(T)actual]])*100</f>
        <v>0.15102482809924755</v>
      </c>
      <c r="T3" s="4">
        <f>CH3OD345[[#This Row],[Q(T)int]]/CH3OD345[[#This Row],[Q(T)actual]]-1</f>
        <v>-1.5102482809924433E-3</v>
      </c>
    </row>
    <row r="4" spans="1:20" x14ac:dyDescent="0.35">
      <c r="A4" s="3">
        <v>290</v>
      </c>
      <c r="B4">
        <v>11864.67</v>
      </c>
      <c r="C4">
        <f>B$34*CH3OD[[#This Row],[T]]^C$34*(D$34+EXP(E$34/CH3OD[[#This Row],[T]]))</f>
        <v>11863.521898045368</v>
      </c>
      <c r="D4">
        <f>ABS(((CH3OD[[#This Row],[Q(T)int]]-CH3OD[[#This Row],[Q(T)actual]]))/CH3OD[[#This Row],[Q(T)actual]])*100</f>
        <v>9.6766446486230458E-3</v>
      </c>
      <c r="E4" s="4">
        <f>CH3OD[[#This Row],[Q(T)int]]/CH3OD[[#This Row],[Q(T)actual]]-1</f>
        <v>-9.6766446486262758E-5</v>
      </c>
      <c r="F4">
        <v>290</v>
      </c>
      <c r="G4">
        <v>11864.67</v>
      </c>
      <c r="H4">
        <f>G$34*CH3OD3[[#This Row],[T]]^H$34*(I$34+EXP(J$34/CH3OD3[[#This Row],[T]]))</f>
        <v>11579.606267910263</v>
      </c>
      <c r="I4">
        <f>ABS(((CH3OD3[[#This Row],[Q(T)int]]-CH3OD3[[#This Row],[Q(T)actual]]))/CH3OD3[[#This Row],[Q(T)actual]])*100</f>
        <v>2.4026267236234697</v>
      </c>
      <c r="J4" s="4">
        <f>CH3OD3[[#This Row],[Q(T)int]]/CH3OD3[[#This Row],[Q(T)actual]]-1</f>
        <v>-2.4026267236234689E-2</v>
      </c>
      <c r="K4">
        <v>290</v>
      </c>
      <c r="L4">
        <v>11864.67</v>
      </c>
      <c r="M4">
        <f>L$34*CH3OD34[[#This Row],[T]]^M$34*(N$34+EXP(O$34/CH3OD34[[#This Row],[T]]))</f>
        <v>11863.657812461597</v>
      </c>
      <c r="N4" s="2">
        <f>ABS(((CH3OD34[[#This Row],[Q(T)int]]-CH3OD34[[#This Row],[Q(T)actual]]))/CH3OD34[[#This Row],[Q(T)actual]])*100</f>
        <v>8.5311056978655195E-3</v>
      </c>
      <c r="O4" s="16">
        <f>(CH3OD34[[#This Row],[Q(T)int]]/CH3OD34[[#This Row],[Q(T)actual]]-1)*100</f>
        <v>-8.5311056978620847E-3</v>
      </c>
      <c r="P4" s="3">
        <v>290</v>
      </c>
      <c r="Q4">
        <v>11864.67</v>
      </c>
      <c r="R4">
        <f>Q$34*CH3OD345[[#This Row],[T]]^R$34*(S$34+EXP(T$34/CH3OD345[[#This Row],[T]]))</f>
        <v>11865.494363838758</v>
      </c>
      <c r="S4">
        <f>ABS(((CH3OD345[[#This Row],[Q(T)int]]-CH3OD345[[#This Row],[Q(T)actual]]))/CH3OD345[[#This Row],[Q(T)actual]])*100</f>
        <v>6.9480553505286112E-3</v>
      </c>
      <c r="T4" s="4">
        <f>CH3OD345[[#This Row],[Q(T)int]]/CH3OD345[[#This Row],[Q(T)actual]]-1</f>
        <v>6.9480553505307796E-5</v>
      </c>
    </row>
    <row r="5" spans="1:20" x14ac:dyDescent="0.35">
      <c r="A5" s="3">
        <v>280</v>
      </c>
      <c r="B5">
        <v>10992.21</v>
      </c>
      <c r="C5">
        <f>B$34*CH3OD[[#This Row],[T]]^C$34*(D$34+EXP(E$34/CH3OD[[#This Row],[T]]))</f>
        <v>10997.780908957118</v>
      </c>
      <c r="D5">
        <f>ABS(((CH3OD[[#This Row],[Q(T)int]]-CH3OD[[#This Row],[Q(T)actual]]))/CH3OD[[#This Row],[Q(T)actual]])*100</f>
        <v>5.0680517904217383E-2</v>
      </c>
      <c r="E5" s="4">
        <f>CH3OD[[#This Row],[Q(T)int]]/CH3OD[[#This Row],[Q(T)actual]]-1</f>
        <v>5.0680517904222455E-4</v>
      </c>
      <c r="F5">
        <v>280</v>
      </c>
      <c r="G5">
        <v>10992.21</v>
      </c>
      <c r="H5">
        <f>G$34*CH3OD3[[#This Row],[T]]^H$34*(I$34+EXP(J$34/CH3OD3[[#This Row],[T]]))</f>
        <v>10851.764599144424</v>
      </c>
      <c r="I5">
        <f>ABS(((CH3OD3[[#This Row],[Q(T)int]]-CH3OD3[[#This Row],[Q(T)actual]]))/CH3OD3[[#This Row],[Q(T)actual]])*100</f>
        <v>1.2776812020110144</v>
      </c>
      <c r="J5" s="4">
        <f>CH3OD3[[#This Row],[Q(T)int]]/CH3OD3[[#This Row],[Q(T)actual]]-1</f>
        <v>-1.2776812020110162E-2</v>
      </c>
      <c r="K5">
        <v>280</v>
      </c>
      <c r="L5">
        <v>10992.21</v>
      </c>
      <c r="M5">
        <f>L$34*CH3OD34[[#This Row],[T]]^M$34*(N$34+EXP(O$34/CH3OD34[[#This Row],[T]]))</f>
        <v>10997.906228402708</v>
      </c>
      <c r="N5" s="2">
        <f>ABS(((CH3OD34[[#This Row],[Q(T)int]]-CH3OD34[[#This Row],[Q(T)actual]]))/CH3OD34[[#This Row],[Q(T)actual]])*100</f>
        <v>5.1820592971828096E-2</v>
      </c>
      <c r="O5" s="16">
        <f>(CH3OD34[[#This Row],[Q(T)int]]/CH3OD34[[#This Row],[Q(T)actual]]-1)*100</f>
        <v>5.1820592971818513E-2</v>
      </c>
      <c r="P5" s="3">
        <v>280</v>
      </c>
      <c r="Q5">
        <v>10992.21</v>
      </c>
      <c r="R5">
        <f>Q$34*CH3OD345[[#This Row],[T]]^R$34*(S$34+EXP(T$34/CH3OD345[[#This Row],[T]]))</f>
        <v>10999.601964186264</v>
      </c>
      <c r="S5">
        <f>ABS(((CH3OD345[[#This Row],[Q(T)int]]-CH3OD345[[#This Row],[Q(T)actual]]))/CH3OD345[[#This Row],[Q(T)actual]])*100</f>
        <v>6.7247297734167072E-2</v>
      </c>
      <c r="T5" s="4">
        <f>CH3OD345[[#This Row],[Q(T)int]]/CH3OD345[[#This Row],[Q(T)actual]]-1</f>
        <v>6.7247297734174261E-4</v>
      </c>
    </row>
    <row r="6" spans="1:20" x14ac:dyDescent="0.35">
      <c r="A6" s="3">
        <v>270</v>
      </c>
      <c r="B6">
        <v>10159.07</v>
      </c>
      <c r="C6">
        <f>B$34*CH3OD[[#This Row],[T]]^C$34*(D$34+EXP(E$34/CH3OD[[#This Row],[T]]))</f>
        <v>10170.591633994345</v>
      </c>
      <c r="D6">
        <f>ABS(((CH3OD[[#This Row],[Q(T)int]]-CH3OD[[#This Row],[Q(T)actual]]))/CH3OD[[#This Row],[Q(T)actual]])*100</f>
        <v>0.11341229063630229</v>
      </c>
      <c r="E6" s="4">
        <f>CH3OD[[#This Row],[Q(T)int]]/CH3OD[[#This Row],[Q(T)actual]]-1</f>
        <v>1.1341229063630553E-3</v>
      </c>
      <c r="F6">
        <v>270</v>
      </c>
      <c r="G6">
        <v>10159.07</v>
      </c>
      <c r="H6">
        <f>G$34*CH3OD3[[#This Row],[T]]^H$34*(I$34+EXP(J$34/CH3OD3[[#This Row],[T]]))</f>
        <v>10140.991355327382</v>
      </c>
      <c r="I6">
        <f>ABS(((CH3OD3[[#This Row],[Q(T)int]]-CH3OD3[[#This Row],[Q(T)actual]]))/CH3OD3[[#This Row],[Q(T)actual]])*100</f>
        <v>0.17795570532162772</v>
      </c>
      <c r="J6" s="4">
        <f>CH3OD3[[#This Row],[Q(T)int]]/CH3OD3[[#This Row],[Q(T)actual]]-1</f>
        <v>-1.7795570532163074E-3</v>
      </c>
      <c r="K6">
        <v>270</v>
      </c>
      <c r="L6">
        <v>10159.07</v>
      </c>
      <c r="M6">
        <f>L$34*CH3OD34[[#This Row],[T]]^M$34*(N$34+EXP(O$34/CH3OD34[[#This Row],[T]]))</f>
        <v>10170.706830752673</v>
      </c>
      <c r="N6" s="2">
        <f>ABS(((CH3OD34[[#This Row],[Q(T)int]]-CH3OD34[[#This Row],[Q(T)actual]]))/CH3OD34[[#This Row],[Q(T)actual]])*100</f>
        <v>0.11454622079258862</v>
      </c>
      <c r="O6" s="16">
        <f>(CH3OD34[[#This Row],[Q(T)int]]/CH3OD34[[#This Row],[Q(T)actual]]-1)*100</f>
        <v>0.11454622079258847</v>
      </c>
      <c r="P6" s="3">
        <v>270</v>
      </c>
      <c r="Q6">
        <v>10159.07</v>
      </c>
      <c r="R6">
        <f>Q$34*CH3OD345[[#This Row],[T]]^R$34*(S$34+EXP(T$34/CH3OD345[[#This Row],[T]]))</f>
        <v>10172.267687074545</v>
      </c>
      <c r="S6">
        <f>ABS(((CH3OD345[[#This Row],[Q(T)int]]-CH3OD345[[#This Row],[Q(T)actual]]))/CH3OD345[[#This Row],[Q(T)actual]])*100</f>
        <v>0.12991038623166967</v>
      </c>
      <c r="T6" s="4">
        <f>CH3OD345[[#This Row],[Q(T)int]]/CH3OD345[[#This Row],[Q(T)actual]]-1</f>
        <v>1.2991038623166862E-3</v>
      </c>
    </row>
    <row r="7" spans="1:20" x14ac:dyDescent="0.35">
      <c r="A7" s="3">
        <v>260</v>
      </c>
      <c r="B7">
        <v>9364.74</v>
      </c>
      <c r="C7">
        <f>B$34*CH3OD[[#This Row],[T]]^C$34*(D$34+EXP(E$34/CH3OD[[#This Row],[T]]))</f>
        <v>9381.7624442906617</v>
      </c>
      <c r="D7">
        <f>ABS(((CH3OD[[#This Row],[Q(T)int]]-CH3OD[[#This Row],[Q(T)actual]]))/CH3OD[[#This Row],[Q(T)actual]])*100</f>
        <v>0.18177167001605973</v>
      </c>
      <c r="E7" s="4">
        <f>CH3OD[[#This Row],[Q(T)int]]/CH3OD[[#This Row],[Q(T)actual]]-1</f>
        <v>1.8177167001605099E-3</v>
      </c>
      <c r="F7">
        <v>260</v>
      </c>
      <c r="G7">
        <v>9364.74</v>
      </c>
      <c r="H7">
        <f>G$34*CH3OD3[[#This Row],[T]]^H$34*(I$34+EXP(J$34/CH3OD3[[#This Row],[T]]))</f>
        <v>9447.6887984670011</v>
      </c>
      <c r="I7">
        <f>ABS(((CH3OD3[[#This Row],[Q(T)int]]-CH3OD3[[#This Row],[Q(T)actual]]))/CH3OD3[[#This Row],[Q(T)actual]])*100</f>
        <v>0.88575655562248745</v>
      </c>
      <c r="J7" s="4">
        <f>CH3OD3[[#This Row],[Q(T)int]]/CH3OD3[[#This Row],[Q(T)actual]]-1</f>
        <v>8.8575655562248556E-3</v>
      </c>
      <c r="K7">
        <v>260</v>
      </c>
      <c r="L7">
        <v>9364.74</v>
      </c>
      <c r="M7">
        <f>L$34*CH3OD34[[#This Row],[T]]^M$34*(N$34+EXP(O$34/CH3OD34[[#This Row],[T]]))</f>
        <v>9381.8679934080683</v>
      </c>
      <c r="N7" s="2">
        <f>ABS(((CH3OD34[[#This Row],[Q(T)int]]-CH3OD34[[#This Row],[Q(T)actual]]))/CH3OD34[[#This Row],[Q(T)actual]])*100</f>
        <v>0.18289876075650266</v>
      </c>
      <c r="O7" s="16">
        <f>(CH3OD34[[#This Row],[Q(T)int]]/CH3OD34[[#This Row],[Q(T)actual]]-1)*100</f>
        <v>0.18289876075650024</v>
      </c>
      <c r="P7" s="3">
        <v>260</v>
      </c>
      <c r="Q7">
        <v>9364.74</v>
      </c>
      <c r="R7">
        <f>Q$34*CH3OD345[[#This Row],[T]]^R$34*(S$34+EXP(T$34/CH3OD345[[#This Row],[T]]))</f>
        <v>9383.2999634349908</v>
      </c>
      <c r="S7">
        <f>ABS(((CH3OD345[[#This Row],[Q(T)int]]-CH3OD345[[#This Row],[Q(T)actual]]))/CH3OD345[[#This Row],[Q(T)actual]])*100</f>
        <v>0.19818984226995096</v>
      </c>
      <c r="T7" s="4">
        <f>CH3OD345[[#This Row],[Q(T)int]]/CH3OD345[[#This Row],[Q(T)actual]]-1</f>
        <v>1.9818984226995795E-3</v>
      </c>
    </row>
    <row r="8" spans="1:20" x14ac:dyDescent="0.35">
      <c r="A8" s="3">
        <v>250</v>
      </c>
      <c r="B8">
        <v>8617.18</v>
      </c>
      <c r="C8">
        <f>B$34*CH3OD[[#This Row],[T]]^C$34*(D$34+EXP(E$34/CH3OD[[#This Row],[T]]))</f>
        <v>8631.0434445047813</v>
      </c>
      <c r="D8">
        <f>ABS(((CH3OD[[#This Row],[Q(T)int]]-CH3OD[[#This Row],[Q(T)actual]]))/CH3OD[[#This Row],[Q(T)actual]])*100</f>
        <v>0.16088145431313955</v>
      </c>
      <c r="E8" s="4">
        <f>CH3OD[[#This Row],[Q(T)int]]/CH3OD[[#This Row],[Q(T)actual]]-1</f>
        <v>1.6088145431314427E-3</v>
      </c>
      <c r="F8">
        <v>250</v>
      </c>
      <c r="G8">
        <v>8617.18</v>
      </c>
      <c r="H8">
        <f>G$34*CH3OD3[[#This Row],[T]]^H$34*(I$34+EXP(J$34/CH3OD3[[#This Row],[T]]))</f>
        <v>8772.2868601013342</v>
      </c>
      <c r="I8">
        <f>ABS(((CH3OD3[[#This Row],[Q(T)int]]-CH3OD3[[#This Row],[Q(T)actual]]))/CH3OD3[[#This Row],[Q(T)actual]])*100</f>
        <v>1.7999723819316058</v>
      </c>
      <c r="J8" s="4">
        <f>CH3OD3[[#This Row],[Q(T)int]]/CH3OD3[[#This Row],[Q(T)actual]]-1</f>
        <v>1.7999723819316138E-2</v>
      </c>
      <c r="K8">
        <v>250</v>
      </c>
      <c r="L8">
        <v>8617.18</v>
      </c>
      <c r="M8">
        <f>L$34*CH3OD34[[#This Row],[T]]^M$34*(N$34+EXP(O$34/CH3OD34[[#This Row],[T]]))</f>
        <v>8631.1398233034306</v>
      </c>
      <c r="N8" s="2">
        <f>ABS(((CH3OD34[[#This Row],[Q(T)int]]-CH3OD34[[#This Row],[Q(T)actual]]))/CH3OD34[[#This Row],[Q(T)actual]])*100</f>
        <v>0.16199990372059433</v>
      </c>
      <c r="O8" s="16">
        <f>(CH3OD34[[#This Row],[Q(T)int]]/CH3OD34[[#This Row],[Q(T)actual]]-1)*100</f>
        <v>0.16199990372058881</v>
      </c>
      <c r="P8" s="3">
        <v>250</v>
      </c>
      <c r="Q8">
        <v>8617.18</v>
      </c>
      <c r="R8">
        <f>Q$34*CH3OD345[[#This Row],[T]]^R$34*(S$34+EXP(T$34/CH3OD345[[#This Row],[T]]))</f>
        <v>8632.4489532525222</v>
      </c>
      <c r="S8">
        <f>ABS(((CH3OD345[[#This Row],[Q(T)int]]-CH3OD345[[#This Row],[Q(T)actual]]))/CH3OD345[[#This Row],[Q(T)actual]])*100</f>
        <v>0.17719199613472036</v>
      </c>
      <c r="T8" s="4">
        <f>CH3OD345[[#This Row],[Q(T)int]]/CH3OD345[[#This Row],[Q(T)actual]]-1</f>
        <v>1.7719199613472902E-3</v>
      </c>
    </row>
    <row r="9" spans="1:20" x14ac:dyDescent="0.35">
      <c r="A9" s="3">
        <v>240</v>
      </c>
      <c r="B9">
        <v>7913.78</v>
      </c>
      <c r="C9">
        <f>B$34*CH3OD[[#This Row],[T]]^C$34*(D$34+EXP(E$34/CH3OD[[#This Row],[T]]))</f>
        <v>7918.1192054823669</v>
      </c>
      <c r="D9">
        <f>ABS(((CH3OD[[#This Row],[Q(T)int]]-CH3OD[[#This Row],[Q(T)actual]]))/CH3OD[[#This Row],[Q(T)actual]])*100</f>
        <v>5.483100973702966E-2</v>
      </c>
      <c r="E9" s="4">
        <f>CH3OD[[#This Row],[Q(T)int]]/CH3OD[[#This Row],[Q(T)actual]]-1</f>
        <v>5.483100973702193E-4</v>
      </c>
      <c r="F9">
        <v>240</v>
      </c>
      <c r="G9">
        <v>7913.78</v>
      </c>
      <c r="H9">
        <f>G$34*CH3OD3[[#This Row],[T]]^H$34*(I$34+EXP(J$34/CH3OD3[[#This Row],[T]]))</f>
        <v>8115.2462052387573</v>
      </c>
      <c r="I9">
        <f>ABS(((CH3OD3[[#This Row],[Q(T)int]]-CH3OD3[[#This Row],[Q(T)actual]]))/CH3OD3[[#This Row],[Q(T)actual]])*100</f>
        <v>2.5457645428449811</v>
      </c>
      <c r="J9" s="4">
        <f>CH3OD3[[#This Row],[Q(T)int]]/CH3OD3[[#This Row],[Q(T)actual]]-1</f>
        <v>2.545764542844986E-2</v>
      </c>
      <c r="K9">
        <v>240</v>
      </c>
      <c r="L9">
        <v>7913.78</v>
      </c>
      <c r="M9">
        <f>L$34*CH3OD34[[#This Row],[T]]^M$34*(N$34+EXP(O$34/CH3OD34[[#This Row],[T]]))</f>
        <v>7918.2068929532588</v>
      </c>
      <c r="N9" s="2">
        <f>ABS(((CH3OD34[[#This Row],[Q(T)int]]-CH3OD34[[#This Row],[Q(T)actual]]))/CH3OD34[[#This Row],[Q(T)actual]])*100</f>
        <v>5.5939044972934358E-2</v>
      </c>
      <c r="O9" s="16">
        <f>(CH3OD34[[#This Row],[Q(T)int]]/CH3OD34[[#This Row],[Q(T)actual]]-1)*100</f>
        <v>5.5939044972941332E-2</v>
      </c>
      <c r="P9" s="3">
        <v>240</v>
      </c>
      <c r="Q9">
        <v>7913.78</v>
      </c>
      <c r="R9">
        <f>Q$34*CH3OD345[[#This Row],[T]]^R$34*(S$34+EXP(T$34/CH3OD345[[#This Row],[T]]))</f>
        <v>7919.39927667341</v>
      </c>
      <c r="S9">
        <f>ABS(((CH3OD345[[#This Row],[Q(T)int]]-CH3OD345[[#This Row],[Q(T)actual]]))/CH3OD345[[#This Row],[Q(T)actual]])*100</f>
        <v>7.10062280403327E-2</v>
      </c>
      <c r="T9" s="4">
        <f>CH3OD345[[#This Row],[Q(T)int]]/CH3OD345[[#This Row],[Q(T)actual]]-1</f>
        <v>7.1006228040326747E-4</v>
      </c>
    </row>
    <row r="10" spans="1:20" x14ac:dyDescent="0.35">
      <c r="A10" s="3">
        <v>230</v>
      </c>
      <c r="B10">
        <v>7237.75</v>
      </c>
      <c r="C10">
        <f>B$34*CH3OD[[#This Row],[T]]^C$34*(D$34+EXP(E$34/CH3OD[[#This Row],[T]]))</f>
        <v>7242.6009000886452</v>
      </c>
      <c r="D10">
        <f>ABS(((CH3OD[[#This Row],[Q(T)int]]-CH3OD[[#This Row],[Q(T)actual]]))/CH3OD[[#This Row],[Q(T)actual]])*100</f>
        <v>6.7022211165696177E-2</v>
      </c>
      <c r="E10" s="4">
        <f>CH3OD[[#This Row],[Q(T)int]]/CH3OD[[#This Row],[Q(T)actual]]-1</f>
        <v>6.7022211165701506E-4</v>
      </c>
      <c r="F10">
        <v>230</v>
      </c>
      <c r="G10">
        <v>7237.75</v>
      </c>
      <c r="H10">
        <f>G$34*CH3OD3[[#This Row],[T]]^H$34*(I$34+EXP(J$34/CH3OD3[[#This Row],[T]]))</f>
        <v>7477.0617527473796</v>
      </c>
      <c r="I10">
        <f>ABS(((CH3OD3[[#This Row],[Q(T)int]]-CH3OD3[[#This Row],[Q(T)actual]]))/CH3OD3[[#This Row],[Q(T)actual]])*100</f>
        <v>3.3064385029516021</v>
      </c>
      <c r="J10" s="4">
        <f>CH3OD3[[#This Row],[Q(T)int]]/CH3OD3[[#This Row],[Q(T)actual]]-1</f>
        <v>3.306438502951603E-2</v>
      </c>
      <c r="K10">
        <v>230</v>
      </c>
      <c r="L10">
        <v>7237.75</v>
      </c>
      <c r="M10">
        <f>L$34*CH3OD34[[#This Row],[T]]^M$34*(N$34+EXP(O$34/CH3OD34[[#This Row],[T]]))</f>
        <v>7242.6803761423635</v>
      </c>
      <c r="N10" s="2">
        <f>ABS(((CH3OD34[[#This Row],[Q(T)int]]-CH3OD34[[#This Row],[Q(T)actual]]))/CH3OD34[[#This Row],[Q(T)actual]])*100</f>
        <v>6.8120287967440948E-2</v>
      </c>
      <c r="O10" s="16">
        <f>(CH3OD34[[#This Row],[Q(T)int]]/CH3OD34[[#This Row],[Q(T)actual]]-1)*100</f>
        <v>6.8120287967432525E-2</v>
      </c>
      <c r="P10" s="3">
        <v>230</v>
      </c>
      <c r="Q10">
        <v>7237.75</v>
      </c>
      <c r="R10">
        <f>Q$34*CH3OD345[[#This Row],[T]]^R$34*(S$34+EXP(T$34/CH3OD345[[#This Row],[T]]))</f>
        <v>7243.7621479410791</v>
      </c>
      <c r="S10">
        <f>ABS(((CH3OD345[[#This Row],[Q(T)int]]-CH3OD345[[#This Row],[Q(T)actual]]))/CH3OD345[[#This Row],[Q(T)actual]])*100</f>
        <v>8.3066532293587E-2</v>
      </c>
      <c r="T10" s="4">
        <f>CH3OD345[[#This Row],[Q(T)int]]/CH3OD345[[#This Row],[Q(T)actual]]-1</f>
        <v>8.3066532293596396E-4</v>
      </c>
    </row>
    <row r="11" spans="1:20" x14ac:dyDescent="0.35">
      <c r="A11" s="3">
        <v>220</v>
      </c>
      <c r="B11">
        <v>6610.24</v>
      </c>
      <c r="C11">
        <f>B$34*CH3OD[[#This Row],[T]]^C$34*(D$34+EXP(E$34/CH3OD[[#This Row],[T]]))</f>
        <v>6604.0179140555019</v>
      </c>
      <c r="D11">
        <f>ABS(((CH3OD[[#This Row],[Q(T)int]]-CH3OD[[#This Row],[Q(T)actual]]))/CH3OD[[#This Row],[Q(T)actual]])*100</f>
        <v>9.4127988461808476E-2</v>
      </c>
      <c r="E11" s="4">
        <f>CH3OD[[#This Row],[Q(T)int]]/CH3OD[[#This Row],[Q(T)actual]]-1</f>
        <v>-9.4127988461811807E-4</v>
      </c>
      <c r="F11">
        <v>220</v>
      </c>
      <c r="G11">
        <v>6610.24</v>
      </c>
      <c r="H11">
        <f>G$34*CH3OD3[[#This Row],[T]]^H$34*(I$34+EXP(J$34/CH3OD3[[#This Row],[T]]))</f>
        <v>6858.2667349762669</v>
      </c>
      <c r="I11">
        <f>ABS(((CH3OD3[[#This Row],[Q(T)int]]-CH3OD3[[#This Row],[Q(T)actual]]))/CH3OD3[[#This Row],[Q(T)actual]])*100</f>
        <v>3.7521593009673948</v>
      </c>
      <c r="J11" s="4">
        <f>CH3OD3[[#This Row],[Q(T)int]]/CH3OD3[[#This Row],[Q(T)actual]]-1</f>
        <v>3.7521593009673948E-2</v>
      </c>
      <c r="K11">
        <v>220</v>
      </c>
      <c r="L11">
        <v>6610.24</v>
      </c>
      <c r="M11">
        <f>L$34*CH3OD34[[#This Row],[T]]^M$34*(N$34+EXP(O$34/CH3OD34[[#This Row],[T]]))</f>
        <v>6604.0896586044091</v>
      </c>
      <c r="N11" s="2">
        <f>ABS(((CH3OD34[[#This Row],[Q(T)int]]-CH3OD34[[#This Row],[Q(T)actual]]))/CH3OD34[[#This Row],[Q(T)actual]])*100</f>
        <v>9.3042633786226486E-2</v>
      </c>
      <c r="O11" s="16">
        <f>(CH3OD34[[#This Row],[Q(T)int]]/CH3OD34[[#This Row],[Q(T)actual]]-1)*100</f>
        <v>-9.304263378622224E-2</v>
      </c>
      <c r="P11" s="3">
        <v>220</v>
      </c>
      <c r="Q11">
        <v>6610.24</v>
      </c>
      <c r="R11">
        <f>Q$34*CH3OD345[[#This Row],[T]]^R$34*(S$34+EXP(T$34/CH3OD345[[#This Row],[T]]))</f>
        <v>6605.0669839400971</v>
      </c>
      <c r="S11">
        <f>ABS(((CH3OD345[[#This Row],[Q(T)int]]-CH3OD345[[#This Row],[Q(T)actual]]))/CH3OD345[[#This Row],[Q(T)actual]])*100</f>
        <v>7.8257613337831808E-2</v>
      </c>
      <c r="T11" s="4">
        <f>CH3OD345[[#This Row],[Q(T)int]]/CH3OD345[[#This Row],[Q(T)actual]]-1</f>
        <v>-7.8257613337828769E-4</v>
      </c>
    </row>
    <row r="12" spans="1:20" x14ac:dyDescent="0.35">
      <c r="A12" s="3">
        <v>210</v>
      </c>
      <c r="B12">
        <v>6009.28</v>
      </c>
      <c r="C12">
        <f>B$34*CH3OD[[#This Row],[T]]^C$34*(D$34+EXP(E$34/CH3OD[[#This Row],[T]]))</f>
        <v>6001.8090729550568</v>
      </c>
      <c r="D12">
        <f>ABS(((CH3OD[[#This Row],[Q(T)int]]-CH3OD[[#This Row],[Q(T)actual]]))/CH3OD[[#This Row],[Q(T)actual]])*100</f>
        <v>0.12432316425500198</v>
      </c>
      <c r="E12" s="4">
        <f>CH3OD[[#This Row],[Q(T)int]]/CH3OD[[#This Row],[Q(T)actual]]-1</f>
        <v>-1.2432316425500245E-3</v>
      </c>
      <c r="F12">
        <v>210</v>
      </c>
      <c r="G12">
        <v>6009.28</v>
      </c>
      <c r="H12">
        <f>G$34*CH3OD3[[#This Row],[T]]^H$34*(I$34+EXP(J$34/CH3OD3[[#This Row],[T]]))</f>
        <v>6259.4373960427356</v>
      </c>
      <c r="I12">
        <f>ABS(((CH3OD3[[#This Row],[Q(T)int]]-CH3OD3[[#This Row],[Q(T)actual]]))/CH3OD3[[#This Row],[Q(T)actual]])*100</f>
        <v>4.1628513905615288</v>
      </c>
      <c r="J12" s="4">
        <f>CH3OD3[[#This Row],[Q(T)int]]/CH3OD3[[#This Row],[Q(T)actual]]-1</f>
        <v>4.1628513905615394E-2</v>
      </c>
      <c r="K12">
        <v>210</v>
      </c>
      <c r="L12">
        <v>6009.28</v>
      </c>
      <c r="M12">
        <f>L$34*CH3OD34[[#This Row],[T]]^M$34*(N$34+EXP(O$34/CH3OD34[[#This Row],[T]]))</f>
        <v>6001.8735647977774</v>
      </c>
      <c r="N12" s="2">
        <f>ABS(((CH3OD34[[#This Row],[Q(T)int]]-CH3OD34[[#This Row],[Q(T)actual]]))/CH3OD34[[#This Row],[Q(T)actual]])*100</f>
        <v>0.12324996009875364</v>
      </c>
      <c r="O12" s="16">
        <f>(CH3OD34[[#This Row],[Q(T)int]]/CH3OD34[[#This Row],[Q(T)actual]]-1)*100</f>
        <v>-0.1232499600987591</v>
      </c>
      <c r="P12" s="3">
        <v>210</v>
      </c>
      <c r="Q12">
        <v>6009.28</v>
      </c>
      <c r="R12">
        <f>Q$34*CH3OD345[[#This Row],[T]]^R$34*(S$34+EXP(T$34/CH3OD345[[#This Row],[T]]))</f>
        <v>6002.7526283919697</v>
      </c>
      <c r="S12">
        <f>ABS(((CH3OD345[[#This Row],[Q(T)int]]-CH3OD345[[#This Row],[Q(T)actual]]))/CH3OD345[[#This Row],[Q(T)actual]])*100</f>
        <v>0.10862152550771607</v>
      </c>
      <c r="T12" s="4">
        <f>CH3OD345[[#This Row],[Q(T)int]]/CH3OD345[[#This Row],[Q(T)actual]]-1</f>
        <v>-1.0862152550771276E-3</v>
      </c>
    </row>
    <row r="13" spans="1:20" x14ac:dyDescent="0.35">
      <c r="A13" s="3">
        <v>200</v>
      </c>
      <c r="B13">
        <v>5447</v>
      </c>
      <c r="C13">
        <f>B$34*CH3OD[[#This Row],[T]]^C$34*(D$34+EXP(E$34/CH3OD[[#This Row],[T]]))</f>
        <v>5435.3137272260756</v>
      </c>
      <c r="D13">
        <f>ABS(((CH3OD[[#This Row],[Q(T)int]]-CH3OD[[#This Row],[Q(T)actual]]))/CH3OD[[#This Row],[Q(T)actual]])*100</f>
        <v>0.21454512160683734</v>
      </c>
      <c r="E13" s="4">
        <f>CH3OD[[#This Row],[Q(T)int]]/CH3OD[[#This Row],[Q(T)actual]]-1</f>
        <v>-2.1454512160683503E-3</v>
      </c>
      <c r="F13">
        <v>200</v>
      </c>
      <c r="G13">
        <v>5447</v>
      </c>
      <c r="H13">
        <f>G$34*CH3OD3[[#This Row],[T]]^H$34*(I$34+EXP(J$34/CH3OD3[[#This Row],[T]]))</f>
        <v>5681.1984479800958</v>
      </c>
      <c r="I13">
        <f>ABS(((CH3OD3[[#This Row],[Q(T)int]]-CH3OD3[[#This Row],[Q(T)actual]]))/CH3OD3[[#This Row],[Q(T)actual]])*100</f>
        <v>4.299585973565188</v>
      </c>
      <c r="J13" s="4">
        <f>CH3OD3[[#This Row],[Q(T)int]]/CH3OD3[[#This Row],[Q(T)actual]]-1</f>
        <v>4.2995859735651898E-2</v>
      </c>
      <c r="K13">
        <v>200</v>
      </c>
      <c r="L13">
        <v>5447</v>
      </c>
      <c r="M13">
        <f>L$34*CH3OD34[[#This Row],[T]]^M$34*(N$34+EXP(O$34/CH3OD34[[#This Row],[T]]))</f>
        <v>5435.3714427013501</v>
      </c>
      <c r="N13" s="2">
        <f>ABS(((CH3OD34[[#This Row],[Q(T)int]]-CH3OD34[[#This Row],[Q(T)actual]]))/CH3OD34[[#This Row],[Q(T)actual]])*100</f>
        <v>0.21348553880392632</v>
      </c>
      <c r="O13" s="16">
        <f>(CH3OD34[[#This Row],[Q(T)int]]/CH3OD34[[#This Row],[Q(T)actual]]-1)*100</f>
        <v>-0.21348553880392585</v>
      </c>
      <c r="P13" s="3">
        <v>200</v>
      </c>
      <c r="Q13">
        <v>5447</v>
      </c>
      <c r="R13">
        <f>Q$34*CH3OD345[[#This Row],[T]]^R$34*(S$34+EXP(T$34/CH3OD345[[#This Row],[T]]))</f>
        <v>5436.1584335569432</v>
      </c>
      <c r="S13">
        <f>ABS(((CH3OD345[[#This Row],[Q(T)int]]-CH3OD345[[#This Row],[Q(T)actual]]))/CH3OD345[[#This Row],[Q(T)actual]])*100</f>
        <v>0.19903738650737585</v>
      </c>
      <c r="T13" s="4">
        <f>CH3OD345[[#This Row],[Q(T)int]]/CH3OD345[[#This Row],[Q(T)actual]]-1</f>
        <v>-1.9903738650737246E-3</v>
      </c>
    </row>
    <row r="14" spans="1:20" x14ac:dyDescent="0.35">
      <c r="A14" s="3">
        <v>190</v>
      </c>
      <c r="B14">
        <v>4916.46</v>
      </c>
      <c r="C14">
        <f>B$34*CH3OD[[#This Row],[T]]^C$34*(D$34+EXP(E$34/CH3OD[[#This Row],[T]]))</f>
        <v>4903.7630811185927</v>
      </c>
      <c r="D14">
        <f>ABS(((CH3OD[[#This Row],[Q(T)int]]-CH3OD[[#This Row],[Q(T)actual]]))/CH3OD[[#This Row],[Q(T)actual]])*100</f>
        <v>0.25825327331875636</v>
      </c>
      <c r="E14" s="4">
        <f>CH3OD[[#This Row],[Q(T)int]]/CH3OD[[#This Row],[Q(T)actual]]-1</f>
        <v>-2.582532733187537E-3</v>
      </c>
      <c r="F14">
        <v>190</v>
      </c>
      <c r="G14">
        <v>4916.46</v>
      </c>
      <c r="H14">
        <f>G$34*CH3OD3[[#This Row],[T]]^H$34*(I$34+EXP(J$34/CH3OD3[[#This Row],[T]]))</f>
        <v>5124.2294269102649</v>
      </c>
      <c r="I14">
        <f>ABS(((CH3OD3[[#This Row],[Q(T)int]]-CH3OD3[[#This Row],[Q(T)actual]]))/CH3OD3[[#This Row],[Q(T)actual]])*100</f>
        <v>4.2259964875187617</v>
      </c>
      <c r="J14" s="4">
        <f>CH3OD3[[#This Row],[Q(T)int]]/CH3OD3[[#This Row],[Q(T)actual]]-1</f>
        <v>4.2259964875187572E-2</v>
      </c>
      <c r="K14">
        <v>190</v>
      </c>
      <c r="L14">
        <v>4916.46</v>
      </c>
      <c r="M14">
        <f>L$34*CH3OD34[[#This Row],[T]]^M$34*(N$34+EXP(O$34/CH3OD34[[#This Row],[T]]))</f>
        <v>4903.8144924933176</v>
      </c>
      <c r="N14" s="2">
        <f>ABS(((CH3OD34[[#This Row],[Q(T)int]]-CH3OD34[[#This Row],[Q(T)actual]]))/CH3OD34[[#This Row],[Q(T)actual]])*100</f>
        <v>0.25720757428479857</v>
      </c>
      <c r="O14" s="16">
        <f>(CH3OD34[[#This Row],[Q(T)int]]/CH3OD34[[#This Row],[Q(T)actual]]-1)*100</f>
        <v>-0.25720757428480123</v>
      </c>
      <c r="P14" s="3">
        <v>190</v>
      </c>
      <c r="Q14">
        <v>4916.46</v>
      </c>
      <c r="R14">
        <f>Q$34*CH3OD345[[#This Row],[T]]^R$34*(S$34+EXP(T$34/CH3OD345[[#This Row],[T]]))</f>
        <v>4904.515585239712</v>
      </c>
      <c r="S14">
        <f>ABS(((CH3OD345[[#This Row],[Q(T)int]]-CH3OD345[[#This Row],[Q(T)actual]]))/CH3OD345[[#This Row],[Q(T)actual]])*100</f>
        <v>0.24294746139067652</v>
      </c>
      <c r="T14" s="4">
        <f>CH3OD345[[#This Row],[Q(T)int]]/CH3OD345[[#This Row],[Q(T)actual]]-1</f>
        <v>-2.4294746139067458E-3</v>
      </c>
    </row>
    <row r="15" spans="1:20" x14ac:dyDescent="0.35">
      <c r="A15" s="3">
        <v>180</v>
      </c>
      <c r="B15">
        <v>4417.2299999999996</v>
      </c>
      <c r="C15">
        <f>B$34*CH3OD[[#This Row],[T]]^C$34*(D$34+EXP(E$34/CH3OD[[#This Row],[T]]))</f>
        <v>4406.2723531643996</v>
      </c>
      <c r="D15">
        <f>ABS(((CH3OD[[#This Row],[Q(T)int]]-CH3OD[[#This Row],[Q(T)actual]]))/CH3OD[[#This Row],[Q(T)actual]])*100</f>
        <v>0.24806602408296419</v>
      </c>
      <c r="E15" s="4">
        <f>CH3OD[[#This Row],[Q(T)int]]/CH3OD[[#This Row],[Q(T)actual]]-1</f>
        <v>-2.4806602408296019E-3</v>
      </c>
      <c r="F15">
        <v>180</v>
      </c>
      <c r="G15">
        <v>4417.2299999999996</v>
      </c>
      <c r="H15">
        <f>G$34*CH3OD3[[#This Row],[T]]^H$34*(I$34+EXP(J$34/CH3OD3[[#This Row],[T]]))</f>
        <v>4589.272117136933</v>
      </c>
      <c r="I15">
        <f>ABS(((CH3OD3[[#This Row],[Q(T)int]]-CH3OD3[[#This Row],[Q(T)actual]]))/CH3OD3[[#This Row],[Q(T)actual]])*100</f>
        <v>3.8947964479307964</v>
      </c>
      <c r="J15" s="4">
        <f>CH3OD3[[#This Row],[Q(T)int]]/CH3OD3[[#This Row],[Q(T)actual]]-1</f>
        <v>3.8947964479308039E-2</v>
      </c>
      <c r="K15">
        <v>180</v>
      </c>
      <c r="L15">
        <v>4417.2299999999996</v>
      </c>
      <c r="M15">
        <f>L$34*CH3OD34[[#This Row],[T]]^M$34*(N$34+EXP(O$34/CH3OD34[[#This Row],[T]]))</f>
        <v>4406.3179267199384</v>
      </c>
      <c r="N15" s="2">
        <f>ABS(((CH3OD34[[#This Row],[Q(T)int]]-CH3OD34[[#This Row],[Q(T)actual]]))/CH3OD34[[#This Row],[Q(T)actual]])*100</f>
        <v>0.24703430158857753</v>
      </c>
      <c r="O15" s="16">
        <f>(CH3OD34[[#This Row],[Q(T)int]]/CH3OD34[[#This Row],[Q(T)actual]]-1)*100</f>
        <v>-0.24703430158857786</v>
      </c>
      <c r="P15" s="3">
        <v>180</v>
      </c>
      <c r="Q15">
        <v>4417.2299999999996</v>
      </c>
      <c r="R15">
        <f>Q$34*CH3OD345[[#This Row],[T]]^R$34*(S$34+EXP(T$34/CH3OD345[[#This Row],[T]]))</f>
        <v>4406.9392586552058</v>
      </c>
      <c r="S15">
        <f>ABS(((CH3OD345[[#This Row],[Q(T)int]]-CH3OD345[[#This Row],[Q(T)actual]]))/CH3OD345[[#This Row],[Q(T)actual]])*100</f>
        <v>0.23296820280569019</v>
      </c>
      <c r="T15" s="4">
        <f>CH3OD345[[#This Row],[Q(T)int]]/CH3OD345[[#This Row],[Q(T)actual]]-1</f>
        <v>-2.3296820280569452E-3</v>
      </c>
    </row>
    <row r="16" spans="1:20" x14ac:dyDescent="0.35">
      <c r="A16" s="3">
        <v>170</v>
      </c>
      <c r="B16">
        <v>3952.81</v>
      </c>
      <c r="C16">
        <f>B$34*CH3OD[[#This Row],[T]]^C$34*(D$34+EXP(E$34/CH3OD[[#This Row],[T]]))</f>
        <v>3941.8346329049541</v>
      </c>
      <c r="D16">
        <f>ABS(((CH3OD[[#This Row],[Q(T)int]]-CH3OD[[#This Row],[Q(T)actual]]))/CH3OD[[#This Row],[Q(T)actual]])*100</f>
        <v>0.27765986968879958</v>
      </c>
      <c r="E16" s="4">
        <f>CH3OD[[#This Row],[Q(T)int]]/CH3OD[[#This Row],[Q(T)actual]]-1</f>
        <v>-2.7765986968879552E-3</v>
      </c>
      <c r="F16">
        <v>170</v>
      </c>
      <c r="G16">
        <v>3952.81</v>
      </c>
      <c r="H16">
        <f>G$34*CH3OD3[[#This Row],[T]]^H$34*(I$34+EXP(J$34/CH3OD3[[#This Row],[T]]))</f>
        <v>4077.1392378868359</v>
      </c>
      <c r="I16">
        <f>ABS(((CH3OD3[[#This Row],[Q(T)int]]-CH3OD3[[#This Row],[Q(T)actual]]))/CH3OD3[[#This Row],[Q(T)actual]])*100</f>
        <v>3.1453380730881562</v>
      </c>
      <c r="J16" s="4">
        <f>CH3OD3[[#This Row],[Q(T)int]]/CH3OD3[[#This Row],[Q(T)actual]]-1</f>
        <v>3.1453380730881664E-2</v>
      </c>
      <c r="K16">
        <v>170</v>
      </c>
      <c r="L16">
        <v>3952.81</v>
      </c>
      <c r="M16">
        <f>L$34*CH3OD34[[#This Row],[T]]^M$34*(N$34+EXP(O$34/CH3OD34[[#This Row],[T]]))</f>
        <v>3941.8748266880571</v>
      </c>
      <c r="N16" s="2">
        <f>ABS(((CH3OD34[[#This Row],[Q(T)int]]-CH3OD34[[#This Row],[Q(T)actual]]))/CH3OD34[[#This Row],[Q(T)actual]])*100</f>
        <v>0.27664302893240222</v>
      </c>
      <c r="O16" s="16">
        <f>(CH3OD34[[#This Row],[Q(T)int]]/CH3OD34[[#This Row],[Q(T)actual]]-1)*100</f>
        <v>-0.27664302893239956</v>
      </c>
      <c r="P16" s="3">
        <v>170</v>
      </c>
      <c r="Q16">
        <v>3952.81</v>
      </c>
      <c r="R16">
        <f>Q$34*CH3OD345[[#This Row],[T]]^R$34*(S$34+EXP(T$34/CH3OD345[[#This Row],[T]]))</f>
        <v>3942.4224698714143</v>
      </c>
      <c r="S16">
        <f>ABS(((CH3OD345[[#This Row],[Q(T)int]]-CH3OD345[[#This Row],[Q(T)actual]]))/CH3OD345[[#This Row],[Q(T)actual]])*100</f>
        <v>0.26278850054987957</v>
      </c>
      <c r="T16" s="4">
        <f>CH3OD345[[#This Row],[Q(T)int]]/CH3OD345[[#This Row],[Q(T)actual]]-1</f>
        <v>-2.6278850054988201E-3</v>
      </c>
    </row>
    <row r="17" spans="1:20" x14ac:dyDescent="0.35">
      <c r="A17" s="3">
        <v>160</v>
      </c>
      <c r="B17">
        <v>3517.84</v>
      </c>
      <c r="C17">
        <f>B$34*CH3OD[[#This Row],[T]]^C$34*(D$34+EXP(E$34/CH3OD[[#This Row],[T]]))</f>
        <v>3509.3176700921517</v>
      </c>
      <c r="D17">
        <f>ABS(((CH3OD[[#This Row],[Q(T)int]]-CH3OD[[#This Row],[Q(T)actual]]))/CH3OD[[#This Row],[Q(T)actual]])*100</f>
        <v>0.24226030484184655</v>
      </c>
      <c r="E17" s="4">
        <f>CH3OD[[#This Row],[Q(T)int]]/CH3OD[[#This Row],[Q(T)actual]]-1</f>
        <v>-2.4226030484184591E-3</v>
      </c>
      <c r="F17">
        <v>160</v>
      </c>
      <c r="G17">
        <v>3517.84</v>
      </c>
      <c r="H17">
        <f>G$34*CH3OD3[[#This Row],[T]]^H$34*(I$34+EXP(J$34/CH3OD3[[#This Row],[T]]))</f>
        <v>3588.724611173327</v>
      </c>
      <c r="I17">
        <f>ABS(((CH3OD3[[#This Row],[Q(T)int]]-CH3OD3[[#This Row],[Q(T)actual]]))/CH3OD3[[#This Row],[Q(T)actual]])*100</f>
        <v>2.0150038425092358</v>
      </c>
      <c r="J17" s="4">
        <f>CH3OD3[[#This Row],[Q(T)int]]/CH3OD3[[#This Row],[Q(T)actual]]-1</f>
        <v>2.0150038425092331E-2</v>
      </c>
      <c r="K17">
        <v>160</v>
      </c>
      <c r="L17">
        <v>3517.84</v>
      </c>
      <c r="M17">
        <f>L$34*CH3OD34[[#This Row],[T]]^M$34*(N$34+EXP(O$34/CH3OD34[[#This Row],[T]]))</f>
        <v>3509.3529313051085</v>
      </c>
      <c r="N17" s="2">
        <f>ABS(((CH3OD34[[#This Row],[Q(T)int]]-CH3OD34[[#This Row],[Q(T)actual]]))/CH3OD34[[#This Row],[Q(T)actual]])*100</f>
        <v>0.24125795075647569</v>
      </c>
      <c r="O17" s="16">
        <f>(CH3OD34[[#This Row],[Q(T)int]]/CH3OD34[[#This Row],[Q(T)actual]]-1)*100</f>
        <v>-0.24125795075647938</v>
      </c>
      <c r="P17" s="3">
        <v>160</v>
      </c>
      <c r="Q17">
        <v>3517.84</v>
      </c>
      <c r="R17">
        <f>Q$34*CH3OD345[[#This Row],[T]]^R$34*(S$34+EXP(T$34/CH3OD345[[#This Row],[T]]))</f>
        <v>3509.832859102054</v>
      </c>
      <c r="S17">
        <f>ABS(((CH3OD345[[#This Row],[Q(T)int]]-CH3OD345[[#This Row],[Q(T)actual]]))/CH3OD345[[#This Row],[Q(T)actual]])*100</f>
        <v>0.22761526669621418</v>
      </c>
      <c r="T17" s="4">
        <f>CH3OD345[[#This Row],[Q(T)int]]/CH3OD345[[#This Row],[Q(T)actual]]-1</f>
        <v>-2.2761526669621279E-3</v>
      </c>
    </row>
    <row r="18" spans="1:20" x14ac:dyDescent="0.35">
      <c r="A18" s="3">
        <v>150</v>
      </c>
      <c r="B18">
        <v>3108.76</v>
      </c>
      <c r="C18">
        <f>B$34*CH3OD[[#This Row],[T]]^C$34*(D$34+EXP(E$34/CH3OD[[#This Row],[T]]))</f>
        <v>3107.4653144754338</v>
      </c>
      <c r="D18">
        <f>ABS(((CH3OD[[#This Row],[Q(T)int]]-CH3OD[[#This Row],[Q(T)actual]]))/CH3OD[[#This Row],[Q(T)actual]])*100</f>
        <v>4.1646364613748744E-2</v>
      </c>
      <c r="E18" s="4">
        <f>CH3OD[[#This Row],[Q(T)int]]/CH3OD[[#This Row],[Q(T)actual]]-1</f>
        <v>-4.164636461374549E-4</v>
      </c>
      <c r="F18">
        <v>150</v>
      </c>
      <c r="G18">
        <v>3108.76</v>
      </c>
      <c r="H18">
        <f>G$34*CH3OD3[[#This Row],[T]]^H$34*(I$34+EXP(J$34/CH3OD3[[#This Row],[T]]))</f>
        <v>3125.0150405784984</v>
      </c>
      <c r="I18">
        <f>ABS(((CH3OD3[[#This Row],[Q(T)int]]-CH3OD3[[#This Row],[Q(T)actual]]))/CH3OD3[[#This Row],[Q(T)actual]])*100</f>
        <v>0.52287859398918568</v>
      </c>
      <c r="J18" s="4">
        <f>CH3OD3[[#This Row],[Q(T)int]]/CH3OD3[[#This Row],[Q(T)actual]]-1</f>
        <v>5.2287859398918446E-3</v>
      </c>
      <c r="K18">
        <v>150</v>
      </c>
      <c r="L18">
        <v>3108.76</v>
      </c>
      <c r="M18">
        <f>L$34*CH3OD34[[#This Row],[T]]^M$34*(N$34+EXP(O$34/CH3OD34[[#This Row],[T]]))</f>
        <v>3107.4960764971224</v>
      </c>
      <c r="N18" s="2">
        <f>ABS(((CH3OD34[[#This Row],[Q(T)int]]-CH3OD34[[#This Row],[Q(T)actual]]))/CH3OD34[[#This Row],[Q(T)actual]])*100</f>
        <v>4.0656837545445371E-2</v>
      </c>
      <c r="O18" s="16">
        <f>(CH3OD34[[#This Row],[Q(T)int]]/CH3OD34[[#This Row],[Q(T)actual]]-1)*100</f>
        <v>-4.0656837545449687E-2</v>
      </c>
      <c r="P18" s="3">
        <v>150</v>
      </c>
      <c r="Q18">
        <v>3108.76</v>
      </c>
      <c r="R18">
        <f>Q$34*CH3OD345[[#This Row],[T]]^R$34*(S$34+EXP(T$34/CH3OD345[[#This Row],[T]]))</f>
        <v>3107.9141241456186</v>
      </c>
      <c r="S18">
        <f>ABS(((CH3OD345[[#This Row],[Q(T)int]]-CH3OD345[[#This Row],[Q(T)actual]]))/CH3OD345[[#This Row],[Q(T)actual]])*100</f>
        <v>2.720942930240915E-2</v>
      </c>
      <c r="T18" s="4">
        <f>CH3OD345[[#This Row],[Q(T)int]]/CH3OD345[[#This Row],[Q(T)actual]]-1</f>
        <v>-2.7209429302410548E-4</v>
      </c>
    </row>
    <row r="19" spans="1:20" x14ac:dyDescent="0.35">
      <c r="A19" s="3">
        <v>140</v>
      </c>
      <c r="B19">
        <v>2731.61</v>
      </c>
      <c r="C19">
        <f>B$34*CH3OD[[#This Row],[T]]^C$34*(D$34+EXP(E$34/CH3OD[[#This Row],[T]]))</f>
        <v>2734.9059197852985</v>
      </c>
      <c r="D19">
        <f>ABS(((CH3OD[[#This Row],[Q(T)int]]-CH3OD[[#This Row],[Q(T)actual]]))/CH3OD[[#This Row],[Q(T)actual]])*100</f>
        <v>0.12065850488533642</v>
      </c>
      <c r="E19" s="4">
        <f>CH3OD[[#This Row],[Q(T)int]]/CH3OD[[#This Row],[Q(T)actual]]-1</f>
        <v>1.2065850488534036E-3</v>
      </c>
      <c r="F19">
        <v>140</v>
      </c>
      <c r="G19">
        <v>2731.61</v>
      </c>
      <c r="H19">
        <f>G$34*CH3OD3[[#This Row],[T]]^H$34*(I$34+EXP(J$34/CH3OD3[[#This Row],[T]]))</f>
        <v>2687.1041098651908</v>
      </c>
      <c r="I19">
        <f>ABS(((CH3OD3[[#This Row],[Q(T)int]]-CH3OD3[[#This Row],[Q(T)actual]]))/CH3OD3[[#This Row],[Q(T)actual]])*100</f>
        <v>1.6292915216597283</v>
      </c>
      <c r="J19" s="4">
        <f>CH3OD3[[#This Row],[Q(T)int]]/CH3OD3[[#This Row],[Q(T)actual]]-1</f>
        <v>-1.6292915216597259E-2</v>
      </c>
      <c r="K19">
        <v>140</v>
      </c>
      <c r="L19">
        <v>2731.61</v>
      </c>
      <c r="M19">
        <f>L$34*CH3OD34[[#This Row],[T]]^M$34*(N$34+EXP(O$34/CH3OD34[[#This Row],[T]]))</f>
        <v>2734.932598846543</v>
      </c>
      <c r="N19" s="2">
        <f>ABS(((CH3OD34[[#This Row],[Q(T)int]]-CH3OD34[[#This Row],[Q(T)actual]]))/CH3OD34[[#This Row],[Q(T)actual]])*100</f>
        <v>0.12163518388579848</v>
      </c>
      <c r="O19" s="16">
        <f>(CH3OD34[[#This Row],[Q(T)int]]/CH3OD34[[#This Row],[Q(T)actual]]-1)*100</f>
        <v>0.1216351838857932</v>
      </c>
      <c r="P19" s="3">
        <v>140</v>
      </c>
      <c r="Q19">
        <v>2731.61</v>
      </c>
      <c r="R19">
        <f>Q$34*CH3OD345[[#This Row],[T]]^R$34*(S$34+EXP(T$34/CH3OD345[[#This Row],[T]]))</f>
        <v>2735.2944179735273</v>
      </c>
      <c r="S19">
        <f>ABS(((CH3OD345[[#This Row],[Q(T)int]]-CH3OD345[[#This Row],[Q(T)actual]]))/CH3OD345[[#This Row],[Q(T)actual]])*100</f>
        <v>0.13488082023155432</v>
      </c>
      <c r="T19" s="4">
        <f>CH3OD345[[#This Row],[Q(T)int]]/CH3OD345[[#This Row],[Q(T)actual]]-1</f>
        <v>1.3488082023156434E-3</v>
      </c>
    </row>
    <row r="20" spans="1:20" x14ac:dyDescent="0.35">
      <c r="A20" s="3">
        <v>130</v>
      </c>
      <c r="B20">
        <v>2382.27</v>
      </c>
      <c r="C20">
        <f>B$34*CH3OD[[#This Row],[T]]^C$34*(D$34+EXP(E$34/CH3OD[[#This Row],[T]]))</f>
        <v>2390.1707045328781</v>
      </c>
      <c r="D20">
        <f>ABS(((CH3OD[[#This Row],[Q(T)int]]-CH3OD[[#This Row],[Q(T)actual]]))/CH3OD[[#This Row],[Q(T)actual]])*100</f>
        <v>0.33164605745268511</v>
      </c>
      <c r="E20" s="4">
        <f>CH3OD[[#This Row],[Q(T)int]]/CH3OD[[#This Row],[Q(T)actual]]-1</f>
        <v>3.3164605745268361E-3</v>
      </c>
      <c r="F20">
        <v>130</v>
      </c>
      <c r="G20">
        <v>2382.27</v>
      </c>
      <c r="H20">
        <f>G$34*CH3OD3[[#This Row],[T]]^H$34*(I$34+EXP(J$34/CH3OD3[[#This Row],[T]]))</f>
        <v>2276.2080162403945</v>
      </c>
      <c r="I20">
        <f>ABS(((CH3OD3[[#This Row],[Q(T)int]]-CH3OD3[[#This Row],[Q(T)actual]]))/CH3OD3[[#This Row],[Q(T)actual]])*100</f>
        <v>4.4521395039019707</v>
      </c>
      <c r="J20" s="4">
        <f>CH3OD3[[#This Row],[Q(T)int]]/CH3OD3[[#This Row],[Q(T)actual]]-1</f>
        <v>-4.4521395039019751E-2</v>
      </c>
      <c r="K20">
        <v>130</v>
      </c>
      <c r="L20">
        <v>2382.27</v>
      </c>
      <c r="M20">
        <f>L$34*CH3OD34[[#This Row],[T]]^M$34*(N$34+EXP(O$34/CH3OD34[[#This Row],[T]]))</f>
        <v>2390.1936961225938</v>
      </c>
      <c r="N20" s="2">
        <f>ABS(((CH3OD34[[#This Row],[Q(T)int]]-CH3OD34[[#This Row],[Q(T)actual]]))/CH3OD34[[#This Row],[Q(T)actual]])*100</f>
        <v>0.33261117012739155</v>
      </c>
      <c r="O20" s="16">
        <f>(CH3OD34[[#This Row],[Q(T)int]]/CH3OD34[[#This Row],[Q(T)actual]]-1)*100</f>
        <v>0.33261117012739483</v>
      </c>
      <c r="P20" s="3">
        <v>130</v>
      </c>
      <c r="Q20">
        <v>2382.27</v>
      </c>
      <c r="R20">
        <f>Q$34*CH3OD345[[#This Row],[T]]^R$34*(S$34+EXP(T$34/CH3OD345[[#This Row],[T]]))</f>
        <v>2390.5047038088474</v>
      </c>
      <c r="S20">
        <f>ABS(((CH3OD345[[#This Row],[Q(T)int]]-CH3OD345[[#This Row],[Q(T)actual]]))/CH3OD345[[#This Row],[Q(T)actual]])*100</f>
        <v>0.3456662682587352</v>
      </c>
      <c r="T20" s="4">
        <f>CH3OD345[[#This Row],[Q(T)int]]/CH3OD345[[#This Row],[Q(T)actual]]-1</f>
        <v>3.4566626825873747E-3</v>
      </c>
    </row>
    <row r="21" spans="1:20" x14ac:dyDescent="0.35">
      <c r="A21" s="3">
        <v>120</v>
      </c>
      <c r="B21">
        <v>2060.0300000000002</v>
      </c>
      <c r="C21">
        <f>B$34*CH3OD[[#This Row],[T]]^C$34*(D$34+EXP(E$34/CH3OD[[#This Row],[T]]))</f>
        <v>2071.7257229420943</v>
      </c>
      <c r="D21">
        <f>ABS(((CH3OD[[#This Row],[Q(T)int]]-CH3OD[[#This Row],[Q(T)actual]]))/CH3OD[[#This Row],[Q(T)actual]])*100</f>
        <v>0.56774527274331466</v>
      </c>
      <c r="E21" s="4">
        <f>CH3OD[[#This Row],[Q(T)int]]/CH3OD[[#This Row],[Q(T)actual]]-1</f>
        <v>5.677452727433252E-3</v>
      </c>
      <c r="F21">
        <v>120</v>
      </c>
      <c r="G21">
        <v>2060.0300000000002</v>
      </c>
      <c r="H21">
        <f>G$34*CH3OD3[[#This Row],[T]]^H$34*(I$34+EXP(J$34/CH3OD3[[#This Row],[T]]))</f>
        <v>1893.6833012449756</v>
      </c>
      <c r="I21">
        <f>ABS(((CH3OD3[[#This Row],[Q(T)int]]-CH3OD3[[#This Row],[Q(T)actual]]))/CH3OD3[[#This Row],[Q(T)actual]])*100</f>
        <v>8.0749648672604071</v>
      </c>
      <c r="J21" s="4">
        <f>CH3OD3[[#This Row],[Q(T)int]]/CH3OD3[[#This Row],[Q(T)actual]]-1</f>
        <v>-8.0749648672604035E-2</v>
      </c>
      <c r="K21">
        <v>120</v>
      </c>
      <c r="L21">
        <v>2060.0300000000002</v>
      </c>
      <c r="M21">
        <f>L$34*CH3OD34[[#This Row],[T]]^M$34*(N$34+EXP(O$34/CH3OD34[[#This Row],[T]]))</f>
        <v>2071.745398104847</v>
      </c>
      <c r="N21" s="2">
        <f>ABS(((CH3OD34[[#This Row],[Q(T)int]]-CH3OD34[[#This Row],[Q(T)actual]]))/CH3OD34[[#This Row],[Q(T)actual]])*100</f>
        <v>0.56870036382221745</v>
      </c>
      <c r="O21" s="16">
        <f>(CH3OD34[[#This Row],[Q(T)int]]/CH3OD34[[#This Row],[Q(T)actual]]-1)*100</f>
        <v>0.56870036382221656</v>
      </c>
      <c r="P21" s="3">
        <v>120</v>
      </c>
      <c r="Q21">
        <v>2060.0300000000002</v>
      </c>
      <c r="R21">
        <f>Q$34*CH3OD345[[#This Row],[T]]^R$34*(S$34+EXP(T$34/CH3OD345[[#This Row],[T]]))</f>
        <v>2072.0107222245356</v>
      </c>
      <c r="S21">
        <f>ABS(((CH3OD345[[#This Row],[Q(T)int]]-CH3OD345[[#This Row],[Q(T)actual]]))/CH3OD345[[#This Row],[Q(T)actual]])*100</f>
        <v>0.58157998789024357</v>
      </c>
      <c r="T21" s="4">
        <f>CH3OD345[[#This Row],[Q(T)int]]/CH3OD345[[#This Row],[Q(T)actual]]-1</f>
        <v>5.8157998789023502E-3</v>
      </c>
    </row>
    <row r="22" spans="1:20" x14ac:dyDescent="0.35">
      <c r="A22" s="3">
        <v>110</v>
      </c>
      <c r="B22">
        <v>1764.11</v>
      </c>
      <c r="C22">
        <f>B$34*CH3OD[[#This Row],[T]]^C$34*(D$34+EXP(E$34/CH3OD[[#This Row],[T]]))</f>
        <v>1778.0215019513253</v>
      </c>
      <c r="D22">
        <f>ABS(((CH3OD[[#This Row],[Q(T)int]]-CH3OD[[#This Row],[Q(T)actual]]))/CH3OD[[#This Row],[Q(T)actual]])*100</f>
        <v>0.78858472268312996</v>
      </c>
      <c r="E22" s="4">
        <f>CH3OD[[#This Row],[Q(T)int]]/CH3OD[[#This Row],[Q(T)actual]]-1</f>
        <v>7.8858472268312774E-3</v>
      </c>
      <c r="F22">
        <v>110</v>
      </c>
      <c r="G22">
        <v>1764.11</v>
      </c>
      <c r="H22">
        <f>G$34*CH3OD3[[#This Row],[T]]^H$34*(I$34+EXP(J$34/CH3OD3[[#This Row],[T]]))</f>
        <v>1541.0457573191261</v>
      </c>
      <c r="I22">
        <f>ABS(((CH3OD3[[#This Row],[Q(T)int]]-CH3OD3[[#This Row],[Q(T)actual]]))/CH3OD3[[#This Row],[Q(T)actual]])*100</f>
        <v>12.644576737327821</v>
      </c>
      <c r="J22" s="4">
        <f>CH3OD3[[#This Row],[Q(T)int]]/CH3OD3[[#This Row],[Q(T)actual]]-1</f>
        <v>-0.12644576737327817</v>
      </c>
      <c r="K22">
        <v>110</v>
      </c>
      <c r="L22">
        <v>1764.11</v>
      </c>
      <c r="M22">
        <f>L$34*CH3OD34[[#This Row],[T]]^M$34*(N$34+EXP(O$34/CH3OD34[[#This Row],[T]]))</f>
        <v>1778.038203761213</v>
      </c>
      <c r="N22" s="2">
        <f>ABS(((CH3OD34[[#This Row],[Q(T)int]]-CH3OD34[[#This Row],[Q(T)actual]]))/CH3OD34[[#This Row],[Q(T)actual]])*100</f>
        <v>0.78953147826457126</v>
      </c>
      <c r="O22" s="16">
        <f>(CH3OD34[[#This Row],[Q(T)int]]/CH3OD34[[#This Row],[Q(T)actual]]-1)*100</f>
        <v>0.78953147826457126</v>
      </c>
      <c r="P22" s="3">
        <v>110</v>
      </c>
      <c r="Q22">
        <v>1764.11</v>
      </c>
      <c r="R22">
        <f>Q$34*CH3OD345[[#This Row],[T]]^R$34*(S$34+EXP(T$34/CH3OD345[[#This Row],[T]]))</f>
        <v>1778.2626280862912</v>
      </c>
      <c r="S22">
        <f>ABS(((CH3OD345[[#This Row],[Q(T)int]]-CH3OD345[[#This Row],[Q(T)actual]]))/CH3OD345[[#This Row],[Q(T)actual]])*100</f>
        <v>0.80225315237095851</v>
      </c>
      <c r="T22" s="4">
        <f>CH3OD345[[#This Row],[Q(T)int]]/CH3OD345[[#This Row],[Q(T)actual]]-1</f>
        <v>8.0225315237096861E-3</v>
      </c>
    </row>
    <row r="23" spans="1:20" x14ac:dyDescent="0.35">
      <c r="A23" s="3">
        <v>100</v>
      </c>
      <c r="B23">
        <v>1493.58</v>
      </c>
      <c r="C23">
        <f>B$34*CH3OD[[#This Row],[T]]^C$34*(D$34+EXP(E$34/CH3OD[[#This Row],[T]]))</f>
        <v>1507.5640677061356</v>
      </c>
      <c r="D23">
        <f>ABS(((CH3OD[[#This Row],[Q(T)int]]-CH3OD[[#This Row],[Q(T)actual]]))/CH3OD[[#This Row],[Q(T)actual]])*100</f>
        <v>0.93627845218439243</v>
      </c>
      <c r="E23" s="4">
        <f>CH3OD[[#This Row],[Q(T)int]]/CH3OD[[#This Row],[Q(T)actual]]-1</f>
        <v>9.3627845218440253E-3</v>
      </c>
      <c r="F23">
        <v>100</v>
      </c>
      <c r="G23">
        <v>1493.58</v>
      </c>
      <c r="H23">
        <f>G$34*CH3OD3[[#This Row],[T]]^H$34*(I$34+EXP(J$34/CH3OD3[[#This Row],[T]]))</f>
        <v>1219.9885018646628</v>
      </c>
      <c r="I23">
        <f>ABS(((CH3OD3[[#This Row],[Q(T)int]]-CH3OD3[[#This Row],[Q(T)actual]]))/CH3OD3[[#This Row],[Q(T)actual]])*100</f>
        <v>18.31783353655895</v>
      </c>
      <c r="J23" s="4">
        <f>CH3OD3[[#This Row],[Q(T)int]]/CH3OD3[[#This Row],[Q(T)actual]]-1</f>
        <v>-0.18317833536558947</v>
      </c>
      <c r="K23">
        <v>100</v>
      </c>
      <c r="L23">
        <v>1493.58</v>
      </c>
      <c r="M23">
        <f>L$34*CH3OD34[[#This Row],[T]]^M$34*(N$34+EXP(O$34/CH3OD34[[#This Row],[T]]))</f>
        <v>1507.5781083715942</v>
      </c>
      <c r="N23" s="2">
        <f>ABS(((CH3OD34[[#This Row],[Q(T)int]]-CH3OD34[[#This Row],[Q(T)actual]]))/CH3OD34[[#This Row],[Q(T)actual]])*100</f>
        <v>0.93721852003871897</v>
      </c>
      <c r="O23" s="16">
        <f>(CH3OD34[[#This Row],[Q(T)int]]/CH3OD34[[#This Row],[Q(T)actual]]-1)*100</f>
        <v>0.93721852003871842</v>
      </c>
      <c r="P23" s="3">
        <v>100</v>
      </c>
      <c r="Q23">
        <v>1493.58</v>
      </c>
      <c r="R23">
        <f>Q$34*CH3OD345[[#This Row],[T]]^R$34*(S$34+EXP(T$34/CH3OD345[[#This Row],[T]]))</f>
        <v>1507.7660234700679</v>
      </c>
      <c r="S23">
        <f>ABS(((CH3OD345[[#This Row],[Q(T)int]]-CH3OD345[[#This Row],[Q(T)actual]]))/CH3OD345[[#This Row],[Q(T)actual]])*100</f>
        <v>0.94980004218508507</v>
      </c>
      <c r="T23" s="4">
        <f>CH3OD345[[#This Row],[Q(T)int]]/CH3OD345[[#This Row],[Q(T)actual]]-1</f>
        <v>9.498000421850783E-3</v>
      </c>
    </row>
    <row r="24" spans="1:20" x14ac:dyDescent="0.35">
      <c r="A24" s="3">
        <v>90</v>
      </c>
      <c r="B24">
        <v>1247.44</v>
      </c>
      <c r="C24">
        <f>B$34*CH3OD[[#This Row],[T]]^C$34*(D$34+EXP(E$34/CH3OD[[#This Row],[T]]))</f>
        <v>1259.0091932127207</v>
      </c>
      <c r="D24">
        <f>ABS(((CH3OD[[#This Row],[Q(T)int]]-CH3OD[[#This Row],[Q(T)actual]]))/CH3OD[[#This Row],[Q(T)actual]])*100</f>
        <v>0.92743484357729589</v>
      </c>
      <c r="E24" s="4">
        <f>CH3OD[[#This Row],[Q(T)int]]/CH3OD[[#This Row],[Q(T)actual]]-1</f>
        <v>9.2743484357729056E-3</v>
      </c>
      <c r="F24">
        <v>90</v>
      </c>
      <c r="G24">
        <v>1247.44</v>
      </c>
      <c r="H24">
        <f>G$34*CH3OD3[[#This Row],[T]]^H$34*(I$34+EXP(J$34/CH3OD3[[#This Row],[T]]))</f>
        <v>932.39443576431256</v>
      </c>
      <c r="I24">
        <f>ABS(((CH3OD3[[#This Row],[Q(T)int]]-CH3OD3[[#This Row],[Q(T)actual]]))/CH3OD3[[#This Row],[Q(T)actual]])*100</f>
        <v>25.255368132790956</v>
      </c>
      <c r="J24" s="4">
        <f>CH3OD3[[#This Row],[Q(T)int]]/CH3OD3[[#This Row],[Q(T)actual]]-1</f>
        <v>-0.25255368132790956</v>
      </c>
      <c r="K24">
        <v>90</v>
      </c>
      <c r="L24">
        <v>1247.44</v>
      </c>
      <c r="M24">
        <f>L$34*CH3OD34[[#This Row],[T]]^M$34*(N$34+EXP(O$34/CH3OD34[[#This Row],[T]]))</f>
        <v>1259.0208524714665</v>
      </c>
      <c r="N24" s="2">
        <f>ABS(((CH3OD34[[#This Row],[Q(T)int]]-CH3OD34[[#This Row],[Q(T)actual]]))/CH3OD34[[#This Row],[Q(T)actual]])*100</f>
        <v>0.92836949845013905</v>
      </c>
      <c r="O24" s="16">
        <f>(CH3OD34[[#This Row],[Q(T)int]]/CH3OD34[[#This Row],[Q(T)actual]]-1)*100</f>
        <v>0.92836949845014338</v>
      </c>
      <c r="P24" s="3">
        <v>90</v>
      </c>
      <c r="Q24">
        <v>1247.44</v>
      </c>
      <c r="R24">
        <f>Q$34*CH3OD345[[#This Row],[T]]^R$34*(S$34+EXP(T$34/CH3OD345[[#This Row],[T]]))</f>
        <v>1259.1762216785228</v>
      </c>
      <c r="S24">
        <f>ABS(((CH3OD345[[#This Row],[Q(T)int]]-CH3OD345[[#This Row],[Q(T)actual]]))/CH3OD345[[#This Row],[Q(T)actual]])*100</f>
        <v>0.94082454294577078</v>
      </c>
      <c r="T24" s="4">
        <f>CH3OD345[[#This Row],[Q(T)int]]/CH3OD345[[#This Row],[Q(T)actual]]-1</f>
        <v>9.4082454294577289E-3</v>
      </c>
    </row>
    <row r="25" spans="1:20" x14ac:dyDescent="0.35">
      <c r="A25" s="3">
        <v>80</v>
      </c>
      <c r="B25">
        <v>1024.53</v>
      </c>
      <c r="C25">
        <f>B$34*CH3OD[[#This Row],[T]]^C$34*(D$34+EXP(E$34/CH3OD[[#This Row],[T]]))</f>
        <v>1031.2770760477995</v>
      </c>
      <c r="D25">
        <f>ABS(((CH3OD[[#This Row],[Q(T)int]]-CH3OD[[#This Row],[Q(T)actual]]))/CH3OD[[#This Row],[Q(T)actual]])*100</f>
        <v>0.65855329251456862</v>
      </c>
      <c r="E25" s="4">
        <f>CH3OD[[#This Row],[Q(T)int]]/CH3OD[[#This Row],[Q(T)actual]]-1</f>
        <v>6.5855329251456318E-3</v>
      </c>
      <c r="F25">
        <v>80</v>
      </c>
      <c r="G25">
        <v>1024.53</v>
      </c>
      <c r="H25">
        <f>G$34*CH3OD3[[#This Row],[T]]^H$34*(I$34+EXP(J$34/CH3OD3[[#This Row],[T]]))</f>
        <v>680.33232090878778</v>
      </c>
      <c r="I25">
        <f>ABS(((CH3OD3[[#This Row],[Q(T)int]]-CH3OD3[[#This Row],[Q(T)actual]]))/CH3OD3[[#This Row],[Q(T)actual]])*100</f>
        <v>33.595666216822565</v>
      </c>
      <c r="J25" s="4">
        <f>CH3OD3[[#This Row],[Q(T)int]]/CH3OD3[[#This Row],[Q(T)actual]]-1</f>
        <v>-0.33595666216822562</v>
      </c>
      <c r="K25">
        <v>80</v>
      </c>
      <c r="L25">
        <v>1024.53</v>
      </c>
      <c r="M25">
        <f>L$34*CH3OD34[[#This Row],[T]]^M$34*(N$34+EXP(O$34/CH3OD34[[#This Row],[T]]))</f>
        <v>1031.2866017000424</v>
      </c>
      <c r="N25" s="2">
        <f>ABS(((CH3OD34[[#This Row],[Q(T)int]]-CH3OD34[[#This Row],[Q(T)actual]]))/CH3OD34[[#This Row],[Q(T)actual]])*100</f>
        <v>0.65948305076888314</v>
      </c>
      <c r="O25" s="16">
        <f>(CH3OD34[[#This Row],[Q(T)int]]/CH3OD34[[#This Row],[Q(T)actual]]-1)*100</f>
        <v>0.65948305076888314</v>
      </c>
      <c r="P25" s="3">
        <v>80</v>
      </c>
      <c r="Q25">
        <v>1024.53</v>
      </c>
      <c r="R25">
        <f>Q$34*CH3OD345[[#This Row],[T]]^R$34*(S$34+EXP(T$34/CH3OD345[[#This Row],[T]]))</f>
        <v>1031.4129547772473</v>
      </c>
      <c r="S25">
        <f>ABS(((CH3OD345[[#This Row],[Q(T)int]]-CH3OD345[[#This Row],[Q(T)actual]]))/CH3OD345[[#This Row],[Q(T)actual]])*100</f>
        <v>0.67181583528518229</v>
      </c>
      <c r="T25" s="4">
        <f>CH3OD345[[#This Row],[Q(T)int]]/CH3OD345[[#This Row],[Q(T)actual]]-1</f>
        <v>6.7181583528517219E-3</v>
      </c>
    </row>
    <row r="26" spans="1:20" x14ac:dyDescent="0.35">
      <c r="A26" s="3">
        <v>70</v>
      </c>
      <c r="B26">
        <v>823.61</v>
      </c>
      <c r="C26">
        <f>B$34*CH3OD[[#This Row],[T]]^C$34*(D$34+EXP(E$34/CH3OD[[#This Row],[T]]))</f>
        <v>823.67626204822693</v>
      </c>
      <c r="D26">
        <f>ABS(((CH3OD[[#This Row],[Q(T)int]]-CH3OD[[#This Row],[Q(T)actual]]))/CH3OD[[#This Row],[Q(T)actual]])*100</f>
        <v>8.0453185642376385E-3</v>
      </c>
      <c r="E26" s="4">
        <f>CH3OD[[#This Row],[Q(T)int]]/CH3OD[[#This Row],[Q(T)actual]]-1</f>
        <v>8.0453185642426206E-5</v>
      </c>
      <c r="F26">
        <v>70</v>
      </c>
      <c r="G26">
        <v>823.61</v>
      </c>
      <c r="H26">
        <f>G$34*CH3OD3[[#This Row],[T]]^H$34*(I$34+EXP(J$34/CH3OD3[[#This Row],[T]]))</f>
        <v>466.01269139232556</v>
      </c>
      <c r="I26">
        <f>ABS(((CH3OD3[[#This Row],[Q(T)int]]-CH3OD3[[#This Row],[Q(T)actual]]))/CH3OD3[[#This Row],[Q(T)actual]])*100</f>
        <v>43.418281541952439</v>
      </c>
      <c r="J26" s="4">
        <f>CH3OD3[[#This Row],[Q(T)int]]/CH3OD3[[#This Row],[Q(T)actual]]-1</f>
        <v>-0.4341828154195243</v>
      </c>
      <c r="K26">
        <v>70</v>
      </c>
      <c r="L26">
        <v>823.61</v>
      </c>
      <c r="M26">
        <f>L$34*CH3OD34[[#This Row],[T]]^M$34*(N$34+EXP(O$34/CH3OD34[[#This Row],[T]]))</f>
        <v>823.68387352378852</v>
      </c>
      <c r="N26" s="2">
        <f>ABS(((CH3OD34[[#This Row],[Q(T)int]]-CH3OD34[[#This Row],[Q(T)actual]]))/CH3OD34[[#This Row],[Q(T)actual]])*100</f>
        <v>8.9694787324712724E-3</v>
      </c>
      <c r="O26" s="16">
        <f>(CH3OD34[[#This Row],[Q(T)int]]/CH3OD34[[#This Row],[Q(T)actual]]-1)*100</f>
        <v>8.9694787324789971E-3</v>
      </c>
      <c r="P26" s="3">
        <v>70</v>
      </c>
      <c r="Q26">
        <v>823.61</v>
      </c>
      <c r="R26">
        <f>Q$34*CH3OD345[[#This Row],[T]]^R$34*(S$34+EXP(T$34/CH3OD345[[#This Row],[T]]))</f>
        <v>823.78434224938599</v>
      </c>
      <c r="S26">
        <f>ABS(((CH3OD345[[#This Row],[Q(T)int]]-CH3OD345[[#This Row],[Q(T)actual]]))/CH3OD345[[#This Row],[Q(T)actual]])*100</f>
        <v>2.1168058836824776E-2</v>
      </c>
      <c r="T26" s="4">
        <f>CH3OD345[[#This Row],[Q(T)int]]/CH3OD345[[#This Row],[Q(T)actual]]-1</f>
        <v>2.116805883682904E-4</v>
      </c>
    </row>
    <row r="27" spans="1:20" x14ac:dyDescent="0.35">
      <c r="A27" s="3">
        <v>60</v>
      </c>
      <c r="B27">
        <v>643.39</v>
      </c>
      <c r="C27">
        <f>B$34*CH3OD[[#This Row],[T]]^C$34*(D$34+EXP(E$34/CH3OD[[#This Row],[T]]))</f>
        <v>636.01436785595899</v>
      </c>
      <c r="D27">
        <f>ABS(((CH3OD[[#This Row],[Q(T)int]]-CH3OD[[#This Row],[Q(T)actual]]))/CH3OD[[#This Row],[Q(T)actual]])*100</f>
        <v>1.1463703421005909</v>
      </c>
      <c r="E27" s="4">
        <f>CH3OD[[#This Row],[Q(T)int]]/CH3OD[[#This Row],[Q(T)actual]]-1</f>
        <v>-1.1463703421005889E-2</v>
      </c>
      <c r="F27">
        <v>60</v>
      </c>
      <c r="G27">
        <v>643.39</v>
      </c>
      <c r="H27">
        <f>G$34*CH3OD3[[#This Row],[T]]^H$34*(I$34+EXP(J$34/CH3OD3[[#This Row],[T]]))</f>
        <v>291.65111531056846</v>
      </c>
      <c r="I27">
        <f>ABS(((CH3OD3[[#This Row],[Q(T)int]]-CH3OD3[[#This Row],[Q(T)actual]]))/CH3OD3[[#This Row],[Q(T)actual]])*100</f>
        <v>54.669622575643317</v>
      </c>
      <c r="J27" s="4">
        <f>CH3OD3[[#This Row],[Q(T)int]]/CH3OD3[[#This Row],[Q(T)actual]]-1</f>
        <v>-0.54669622575643317</v>
      </c>
      <c r="K27">
        <v>60</v>
      </c>
      <c r="L27">
        <v>643.39</v>
      </c>
      <c r="M27">
        <f>L$34*CH3OD34[[#This Row],[T]]^M$34*(N$34+EXP(O$34/CH3OD34[[#This Row],[T]]))</f>
        <v>636.02026338827841</v>
      </c>
      <c r="N27" s="2">
        <f>ABS(((CH3OD34[[#This Row],[Q(T)int]]-CH3OD34[[#This Row],[Q(T)actual]]))/CH3OD34[[#This Row],[Q(T)actual]])*100</f>
        <v>1.1454540188255302</v>
      </c>
      <c r="O27" s="16">
        <f>(CH3OD34[[#This Row],[Q(T)int]]/CH3OD34[[#This Row],[Q(T)actual]]-1)*100</f>
        <v>-1.1454540188255313</v>
      </c>
      <c r="P27" s="3">
        <v>60</v>
      </c>
      <c r="Q27">
        <v>643.39</v>
      </c>
      <c r="R27">
        <f>Q$34*CH3OD345[[#This Row],[T]]^R$34*(S$34+EXP(T$34/CH3OD345[[#This Row],[T]]))</f>
        <v>636.09766969536429</v>
      </c>
      <c r="S27">
        <f>ABS(((CH3OD345[[#This Row],[Q(T)int]]-CH3OD345[[#This Row],[Q(T)actual]]))/CH3OD345[[#This Row],[Q(T)actual]])*100</f>
        <v>1.1334230100927429</v>
      </c>
      <c r="T27" s="4">
        <f>CH3OD345[[#This Row],[Q(T)int]]/CH3OD345[[#This Row],[Q(T)actual]]-1</f>
        <v>-1.1334230100927378E-2</v>
      </c>
    </row>
    <row r="28" spans="1:20" x14ac:dyDescent="0.35">
      <c r="A28" s="3">
        <v>50</v>
      </c>
      <c r="B28">
        <v>482.67</v>
      </c>
      <c r="C28">
        <f>B$34*CH3OD[[#This Row],[T]]^C$34*(D$34+EXP(E$34/CH3OD[[#This Row],[T]]))</f>
        <v>468.66609744793482</v>
      </c>
      <c r="D28">
        <f>ABS(((CH3OD[[#This Row],[Q(T)int]]-CH3OD[[#This Row],[Q(T)actual]]))/CH3OD[[#This Row],[Q(T)actual]])*100</f>
        <v>2.901340989095075</v>
      </c>
      <c r="E28" s="4">
        <f>CH3OD[[#This Row],[Q(T)int]]/CH3OD[[#This Row],[Q(T)actual]]-1</f>
        <v>-2.9013409890950803E-2</v>
      </c>
      <c r="F28">
        <v>50</v>
      </c>
      <c r="G28">
        <v>482.67</v>
      </c>
      <c r="H28">
        <f>G$34*CH3OD3[[#This Row],[T]]^H$34*(I$34+EXP(J$34/CH3OD3[[#This Row],[T]]))</f>
        <v>159.12275400853315</v>
      </c>
      <c r="I28">
        <f>ABS(((CH3OD3[[#This Row],[Q(T)int]]-CH3OD3[[#This Row],[Q(T)actual]]))/CH3OD3[[#This Row],[Q(T)actual]])*100</f>
        <v>67.032806263382199</v>
      </c>
      <c r="J28" s="4">
        <f>CH3OD3[[#This Row],[Q(T)int]]/CH3OD3[[#This Row],[Q(T)actual]]-1</f>
        <v>-0.67032806263382194</v>
      </c>
      <c r="K28">
        <v>50</v>
      </c>
      <c r="L28">
        <v>482.67</v>
      </c>
      <c r="M28">
        <f>L$34*CH3OD34[[#This Row],[T]]^M$34*(N$34+EXP(O$34/CH3OD34[[#This Row],[T]]))</f>
        <v>468.67046448361498</v>
      </c>
      <c r="N28" s="2">
        <f>ABS(((CH3OD34[[#This Row],[Q(T)int]]-CH3OD34[[#This Row],[Q(T)actual]]))/CH3OD34[[#This Row],[Q(T)actual]])*100</f>
        <v>2.9004362227577922</v>
      </c>
      <c r="O28" s="16">
        <f>(CH3OD34[[#This Row],[Q(T)int]]/CH3OD34[[#This Row],[Q(T)actual]]-1)*100</f>
        <v>-2.9004362227577962</v>
      </c>
      <c r="P28" s="3">
        <v>50</v>
      </c>
      <c r="Q28">
        <v>482.67</v>
      </c>
      <c r="R28">
        <f>Q$34*CH3OD345[[#This Row],[T]]^R$34*(S$34+EXP(T$34/CH3OD345[[#This Row],[T]]))</f>
        <v>468.72745846912113</v>
      </c>
      <c r="S28">
        <f>ABS(((CH3OD345[[#This Row],[Q(T)int]]-CH3OD345[[#This Row],[Q(T)actual]]))/CH3OD345[[#This Row],[Q(T)actual]])*100</f>
        <v>2.8886281581367981</v>
      </c>
      <c r="T28" s="4">
        <f>CH3OD345[[#This Row],[Q(T)int]]/CH3OD345[[#This Row],[Q(T)actual]]-1</f>
        <v>-2.8886281581367967E-2</v>
      </c>
    </row>
    <row r="29" spans="1:20" x14ac:dyDescent="0.35">
      <c r="A29" s="3">
        <v>40</v>
      </c>
      <c r="B29">
        <v>340.63</v>
      </c>
      <c r="C29">
        <f>B$34*CH3OD[[#This Row],[T]]^C$34*(D$34+EXP(E$34/CH3OD[[#This Row],[T]]))</f>
        <v>322.58471398890686</v>
      </c>
      <c r="D29">
        <f>ABS(((CH3OD[[#This Row],[Q(T)int]]-CH3OD[[#This Row],[Q(T)actual]]))/CH3OD[[#This Row],[Q(T)actual]])*100</f>
        <v>5.2976208822162283</v>
      </c>
      <c r="E29" s="4">
        <f>CH3OD[[#This Row],[Q(T)int]]/CH3OD[[#This Row],[Q(T)actual]]-1</f>
        <v>-5.2976208822162252E-2</v>
      </c>
      <c r="F29">
        <v>40</v>
      </c>
      <c r="G29">
        <v>340.63</v>
      </c>
      <c r="H29">
        <f>G$34*CH3OD3[[#This Row],[T]]^H$34*(I$34+EXP(J$34/CH3OD3[[#This Row],[T]]))</f>
        <v>69.155709056342928</v>
      </c>
      <c r="I29">
        <f>ABS(((CH3OD3[[#This Row],[Q(T)int]]-CH3OD3[[#This Row],[Q(T)actual]]))/CH3OD3[[#This Row],[Q(T)actual]])*100</f>
        <v>79.697704530915388</v>
      </c>
      <c r="J29" s="4">
        <f>CH3OD3[[#This Row],[Q(T)int]]/CH3OD3[[#This Row],[Q(T)actual]]-1</f>
        <v>-0.79697704530915381</v>
      </c>
      <c r="K29">
        <v>40</v>
      </c>
      <c r="L29">
        <v>340.63</v>
      </c>
      <c r="M29">
        <f>L$34*CH3OD34[[#This Row],[T]]^M$34*(N$34+EXP(O$34/CH3OD34[[#This Row],[T]]))</f>
        <v>322.58774102650113</v>
      </c>
      <c r="N29" s="2">
        <f>ABS(((CH3OD34[[#This Row],[Q(T)int]]-CH3OD34[[#This Row],[Q(T)actual]]))/CH3OD34[[#This Row],[Q(T)actual]])*100</f>
        <v>5.2967322236734464</v>
      </c>
      <c r="O29" s="16">
        <f>(CH3OD34[[#This Row],[Q(T)int]]/CH3OD34[[#This Row],[Q(T)actual]]-1)*100</f>
        <v>-5.29673222367345</v>
      </c>
      <c r="P29" s="3">
        <v>40</v>
      </c>
      <c r="Q29">
        <v>340.63</v>
      </c>
      <c r="R29">
        <f>Q$34*CH3OD345[[#This Row],[T]]^R$34*(S$34+EXP(T$34/CH3OD345[[#This Row],[T]]))</f>
        <v>322.62696381376446</v>
      </c>
      <c r="S29">
        <f>ABS(((CH3OD345[[#This Row],[Q(T)int]]-CH3OD345[[#This Row],[Q(T)actual]]))/CH3OD345[[#This Row],[Q(T)actual]])*100</f>
        <v>5.2852174459781969</v>
      </c>
      <c r="T29" s="4">
        <f>CH3OD345[[#This Row],[Q(T)int]]/CH3OD345[[#This Row],[Q(T)actual]]-1</f>
        <v>-5.2852174459781964E-2</v>
      </c>
    </row>
    <row r="30" spans="1:20" x14ac:dyDescent="0.35">
      <c r="A30" s="3">
        <v>30</v>
      </c>
      <c r="B30">
        <v>217.37</v>
      </c>
      <c r="C30">
        <f>B$34*CH3OD[[#This Row],[T]]^C$34*(D$34+EXP(E$34/CH3OD[[#This Row],[T]]))</f>
        <v>199.30608494593528</v>
      </c>
      <c r="D30">
        <f>ABS(((CH3OD[[#This Row],[Q(T)int]]-CH3OD[[#This Row],[Q(T)actual]]))/CH3OD[[#This Row],[Q(T)actual]])*100</f>
        <v>8.3102153259717184</v>
      </c>
      <c r="E30" s="4">
        <f>CH3OD[[#This Row],[Q(T)int]]/CH3OD[[#This Row],[Q(T)actual]]-1</f>
        <v>-8.3102153259717149E-2</v>
      </c>
      <c r="F30">
        <v>30</v>
      </c>
      <c r="G30">
        <v>217.37</v>
      </c>
      <c r="H30">
        <f>G$34*CH3OD3[[#This Row],[T]]^H$34*(I$34+EXP(J$34/CH3OD3[[#This Row],[T]]))</f>
        <v>19.566863671255696</v>
      </c>
      <c r="I30">
        <f>ABS(((CH3OD3[[#This Row],[Q(T)int]]-CH3OD3[[#This Row],[Q(T)actual]]))/CH3OD3[[#This Row],[Q(T)actual]])*100</f>
        <v>90.998360550556328</v>
      </c>
      <c r="J30" s="4">
        <f>CH3OD3[[#This Row],[Q(T)int]]/CH3OD3[[#This Row],[Q(T)actual]]-1</f>
        <v>-0.90998360550556334</v>
      </c>
      <c r="K30">
        <v>30</v>
      </c>
      <c r="L30">
        <v>217.37</v>
      </c>
      <c r="M30">
        <f>L$34*CH3OD34[[#This Row],[T]]^M$34*(N$34+EXP(O$34/CH3OD34[[#This Row],[T]]))</f>
        <v>199.30797235582131</v>
      </c>
      <c r="N30" s="2">
        <f>ABS(((CH3OD34[[#This Row],[Q(T)int]]-CH3OD34[[#This Row],[Q(T)actual]]))/CH3OD34[[#This Row],[Q(T)actual]])*100</f>
        <v>8.3093470323313703</v>
      </c>
      <c r="O30" s="16">
        <f>(CH3OD34[[#This Row],[Q(T)int]]/CH3OD34[[#This Row],[Q(T)actual]]-1)*100</f>
        <v>-8.3093470323313703</v>
      </c>
      <c r="P30" s="3">
        <v>30</v>
      </c>
      <c r="Q30">
        <v>217.37</v>
      </c>
      <c r="R30">
        <f>Q$34*CH3OD345[[#This Row],[T]]^R$34*(S$34+EXP(T$34/CH3OD345[[#This Row],[T]]))</f>
        <v>199.33220549560096</v>
      </c>
      <c r="S30">
        <f>ABS(((CH3OD345[[#This Row],[Q(T)int]]-CH3OD345[[#This Row],[Q(T)actual]]))/CH3OD345[[#This Row],[Q(T)actual]])*100</f>
        <v>8.298198695495719</v>
      </c>
      <c r="T30" s="4">
        <f>CH3OD345[[#This Row],[Q(T)int]]/CH3OD345[[#This Row],[Q(T)actual]]-1</f>
        <v>-8.2981986954957176E-2</v>
      </c>
    </row>
    <row r="31" spans="1:20" x14ac:dyDescent="0.35">
      <c r="A31" s="3">
        <v>20</v>
      </c>
      <c r="B31">
        <v>114.73</v>
      </c>
      <c r="C31">
        <f>B$34*CH3OD[[#This Row],[T]]^C$34*(D$34+EXP(E$34/CH3OD[[#This Row],[T]]))</f>
        <v>101.10647035437216</v>
      </c>
      <c r="D31">
        <f>ABS(((CH3OD[[#This Row],[Q(T)int]]-CH3OD[[#This Row],[Q(T)actual]]))/CH3OD[[#This Row],[Q(T)actual]])*100</f>
        <v>11.874426606491625</v>
      </c>
      <c r="E31" s="4">
        <f>CH3OD[[#This Row],[Q(T)int]]/CH3OD[[#This Row],[Q(T)actual]]-1</f>
        <v>-0.11874426606491628</v>
      </c>
      <c r="F31">
        <v>20</v>
      </c>
      <c r="G31">
        <v>114.73</v>
      </c>
      <c r="H31">
        <f>G$34*CH3OD3[[#This Row],[T]]^H$34*(I$34+EXP(J$34/CH3OD3[[#This Row],[T]]))</f>
        <v>2.0210958096133624</v>
      </c>
      <c r="I31">
        <f>ABS(((CH3OD3[[#This Row],[Q(T)int]]-CH3OD3[[#This Row],[Q(T)actual]]))/CH3OD3[[#This Row],[Q(T)actual]])*100</f>
        <v>98.238389427688176</v>
      </c>
      <c r="J31" s="4">
        <f>CH3OD3[[#This Row],[Q(T)int]]/CH3OD3[[#This Row],[Q(T)actual]]-1</f>
        <v>-0.98238389427688166</v>
      </c>
      <c r="K31">
        <v>20</v>
      </c>
      <c r="L31">
        <v>114.73</v>
      </c>
      <c r="M31">
        <f>L$34*CH3OD34[[#This Row],[T]]^M$34*(N$34+EXP(O$34/CH3OD34[[#This Row],[T]]))</f>
        <v>101.10744012168378</v>
      </c>
      <c r="N31" s="2">
        <f>ABS(((CH3OD34[[#This Row],[Q(T)int]]-CH3OD34[[#This Row],[Q(T)actual]]))/CH3OD34[[#This Row],[Q(T)actual]])*100</f>
        <v>11.873581346043951</v>
      </c>
      <c r="O31" s="16">
        <f>(CH3OD34[[#This Row],[Q(T)int]]/CH3OD34[[#This Row],[Q(T)actual]]-1)*100</f>
        <v>-11.873581346043949</v>
      </c>
      <c r="P31" s="3">
        <v>20</v>
      </c>
      <c r="Q31">
        <v>114.73</v>
      </c>
      <c r="R31">
        <f>Q$34*CH3OD345[[#This Row],[T]]^R$34*(S$34+EXP(T$34/CH3OD345[[#This Row],[T]]))</f>
        <v>101.11973340990572</v>
      </c>
      <c r="S31">
        <f>ABS(((CH3OD345[[#This Row],[Q(T)int]]-CH3OD345[[#This Row],[Q(T)actual]]))/CH3OD345[[#This Row],[Q(T)actual]])*100</f>
        <v>11.86286637330627</v>
      </c>
      <c r="T31" s="4">
        <f>CH3OD345[[#This Row],[Q(T)int]]/CH3OD345[[#This Row],[Q(T)actual]]-1</f>
        <v>-0.11862866373306269</v>
      </c>
    </row>
    <row r="32" spans="1:20" x14ac:dyDescent="0.35">
      <c r="A32" s="3">
        <v>10</v>
      </c>
      <c r="B32">
        <v>37.54</v>
      </c>
      <c r="C32">
        <f>B$34*CH3OD[[#This Row],[T]]^C$34*(D$34+EXP(E$34/CH3OD[[#This Row],[T]]))</f>
        <v>31.689460991205198</v>
      </c>
      <c r="D32">
        <f>ABS(((CH3OD[[#This Row],[Q(T)int]]-CH3OD[[#This Row],[Q(T)actual]]))/CH3OD[[#This Row],[Q(T)actual]])*100</f>
        <v>15.584813555660098</v>
      </c>
      <c r="E32" s="4">
        <f>CH3OD[[#This Row],[Q(T)int]]/CH3OD[[#This Row],[Q(T)actual]]-1</f>
        <v>-0.15584813555660093</v>
      </c>
      <c r="F32">
        <v>10</v>
      </c>
      <c r="G32">
        <v>37.54</v>
      </c>
      <c r="H32">
        <f>G$34*CH3OD3[[#This Row],[T]]^H$34*(I$34+EXP(J$34/CH3OD3[[#This Row],[T]]))</f>
        <v>4.882582850401016E-3</v>
      </c>
      <c r="I32">
        <f>ABS(((CH3OD3[[#This Row],[Q(T)int]]-CH3OD3[[#This Row],[Q(T)actual]]))/CH3OD3[[#This Row],[Q(T)actual]])*100</f>
        <v>99.986993652502932</v>
      </c>
      <c r="J32" s="4">
        <f>CH3OD3[[#This Row],[Q(T)int]]/CH3OD3[[#This Row],[Q(T)actual]]-1</f>
        <v>-0.99986993652502931</v>
      </c>
      <c r="K32">
        <v>10</v>
      </c>
      <c r="L32">
        <v>37.54</v>
      </c>
      <c r="M32">
        <f>L$34*CH3OD34[[#This Row],[T]]^M$34*(N$34+EXP(O$34/CH3OD34[[#This Row],[T]]))</f>
        <v>31.689771531814493</v>
      </c>
      <c r="N32" s="2">
        <f>ABS(((CH3OD34[[#This Row],[Q(T)int]]-CH3OD34[[#This Row],[Q(T)actual]]))/CH3OD34[[#This Row],[Q(T)actual]])*100</f>
        <v>15.583986329742958</v>
      </c>
      <c r="O32" s="16">
        <f>(CH3OD34[[#This Row],[Q(T)int]]/CH3OD34[[#This Row],[Q(T)actual]]-1)*100</f>
        <v>-15.583986329742959</v>
      </c>
      <c r="P32" s="3">
        <v>10</v>
      </c>
      <c r="Q32">
        <v>37.54</v>
      </c>
      <c r="R32">
        <f>Q$34*CH3OD345[[#This Row],[T]]^R$34*(S$34+EXP(T$34/CH3OD345[[#This Row],[T]]))</f>
        <v>31.693624576601824</v>
      </c>
      <c r="S32">
        <f>ABS(((CH3OD345[[#This Row],[Q(T)int]]-CH3OD345[[#This Row],[Q(T)actual]]))/CH3OD345[[#This Row],[Q(T)actual]])*100</f>
        <v>15.573722491737282</v>
      </c>
      <c r="T32" s="4">
        <f>CH3OD345[[#This Row],[Q(T)int]]/CH3OD345[[#This Row],[Q(T)actual]]-1</f>
        <v>-0.15573722491737285</v>
      </c>
    </row>
    <row r="33" spans="1:20" x14ac:dyDescent="0.35">
      <c r="A33" s="3" t="s">
        <v>12</v>
      </c>
      <c r="B33" t="s">
        <v>7</v>
      </c>
      <c r="C33" t="s">
        <v>8</v>
      </c>
      <c r="D33" t="s">
        <v>9</v>
      </c>
      <c r="E33" s="4" t="s">
        <v>10</v>
      </c>
      <c r="F33" t="s">
        <v>12</v>
      </c>
      <c r="G33" t="s">
        <v>7</v>
      </c>
      <c r="H33" t="s">
        <v>8</v>
      </c>
      <c r="I33" t="s">
        <v>9</v>
      </c>
      <c r="J33" s="4" t="s">
        <v>10</v>
      </c>
      <c r="K33" t="s">
        <v>12</v>
      </c>
      <c r="L33" t="s">
        <v>7</v>
      </c>
      <c r="M33" t="s">
        <v>8</v>
      </c>
      <c r="N33" t="s">
        <v>9</v>
      </c>
      <c r="O33" s="4" t="s">
        <v>10</v>
      </c>
      <c r="P33" s="3" t="s">
        <v>12</v>
      </c>
      <c r="Q33" t="s">
        <v>7</v>
      </c>
      <c r="R33" t="s">
        <v>8</v>
      </c>
      <c r="S33" t="s">
        <v>9</v>
      </c>
      <c r="T33" s="4" t="s">
        <v>10</v>
      </c>
    </row>
    <row r="34" spans="1:20" x14ac:dyDescent="0.35">
      <c r="A34" s="3"/>
      <c r="B34">
        <v>1.58347861</v>
      </c>
      <c r="C34">
        <v>1.6738002999999999</v>
      </c>
      <c r="D34">
        <v>0.42413328</v>
      </c>
      <c r="E34" s="4">
        <v>-565.73920599999997</v>
      </c>
      <c r="G34">
        <v>3.3069999999999999</v>
      </c>
      <c r="H34">
        <v>1.5</v>
      </c>
      <c r="I34">
        <v>0</v>
      </c>
      <c r="J34" s="4">
        <v>-99.72</v>
      </c>
      <c r="L34">
        <v>1.5834999999999999</v>
      </c>
      <c r="M34">
        <v>1.6738</v>
      </c>
      <c r="N34">
        <v>0.42413200000000001</v>
      </c>
      <c r="O34" s="4">
        <v>-565.73699999999997</v>
      </c>
      <c r="P34" s="3"/>
      <c r="Q34">
        <v>1.5837000000000001</v>
      </c>
      <c r="R34">
        <v>1.6738</v>
      </c>
      <c r="S34">
        <v>0.42413000000000001</v>
      </c>
      <c r="T34" s="4">
        <v>-565.70000000000005</v>
      </c>
    </row>
    <row r="35" spans="1:20" x14ac:dyDescent="0.35">
      <c r="A35" s="3" t="s">
        <v>15</v>
      </c>
      <c r="B35">
        <v>1</v>
      </c>
      <c r="C35">
        <v>1</v>
      </c>
      <c r="D35">
        <v>0</v>
      </c>
      <c r="E35" s="4">
        <v>0</v>
      </c>
      <c r="F35" t="s">
        <v>15</v>
      </c>
      <c r="G35" t="s">
        <v>16</v>
      </c>
      <c r="H35" t="s">
        <v>16</v>
      </c>
      <c r="I35" t="s">
        <v>16</v>
      </c>
      <c r="J35" s="4" t="s">
        <v>16</v>
      </c>
      <c r="K35" t="s">
        <v>15</v>
      </c>
      <c r="L35" t="s">
        <v>16</v>
      </c>
      <c r="M35" t="s">
        <v>16</v>
      </c>
      <c r="N35" t="s">
        <v>16</v>
      </c>
      <c r="O35" s="4" t="s">
        <v>16</v>
      </c>
      <c r="P35" t="s">
        <v>15</v>
      </c>
      <c r="Q35">
        <v>1.5</v>
      </c>
      <c r="R35">
        <v>1.5</v>
      </c>
      <c r="S35">
        <v>0</v>
      </c>
      <c r="T35" s="4">
        <v>-100</v>
      </c>
    </row>
    <row r="36" spans="1:20" ht="15" thickBot="1" x14ac:dyDescent="0.4">
      <c r="A36" s="5" t="s">
        <v>18</v>
      </c>
      <c r="B36" s="6" t="s">
        <v>19</v>
      </c>
      <c r="C36" s="6" t="s">
        <v>21</v>
      </c>
      <c r="D36" s="6" t="s">
        <v>20</v>
      </c>
      <c r="E36" s="7" t="s">
        <v>20</v>
      </c>
      <c r="F36" s="6" t="s">
        <v>18</v>
      </c>
      <c r="G36" s="6" t="s">
        <v>20</v>
      </c>
      <c r="H36" s="6" t="s">
        <v>20</v>
      </c>
      <c r="I36" s="6" t="s">
        <v>20</v>
      </c>
      <c r="J36" s="7" t="s">
        <v>20</v>
      </c>
      <c r="K36" s="6" t="s">
        <v>18</v>
      </c>
      <c r="L36" s="6" t="s">
        <v>20</v>
      </c>
      <c r="M36" s="6" t="s">
        <v>20</v>
      </c>
      <c r="N36" s="6" t="s">
        <v>20</v>
      </c>
      <c r="O36" s="7" t="s">
        <v>20</v>
      </c>
      <c r="P36" s="6" t="s">
        <v>18</v>
      </c>
      <c r="Q36" s="6" t="s">
        <v>20</v>
      </c>
      <c r="R36" s="6" t="s">
        <v>20</v>
      </c>
      <c r="S36" s="6" t="s">
        <v>20</v>
      </c>
      <c r="T36" s="7" t="s">
        <v>20</v>
      </c>
    </row>
    <row r="37" spans="1:20" x14ac:dyDescent="0.35">
      <c r="F37" s="13" t="s">
        <v>23</v>
      </c>
      <c r="G37" s="14"/>
      <c r="H37" s="14"/>
      <c r="I37" s="14"/>
      <c r="J37" s="15"/>
    </row>
    <row r="38" spans="1:20" x14ac:dyDescent="0.35">
      <c r="F38" s="3" t="s">
        <v>0</v>
      </c>
      <c r="G38" t="s">
        <v>2</v>
      </c>
      <c r="H38" t="s">
        <v>1</v>
      </c>
      <c r="I38" t="s">
        <v>3</v>
      </c>
      <c r="J38" s="4" t="s">
        <v>4</v>
      </c>
      <c r="L38" t="s">
        <v>24</v>
      </c>
    </row>
    <row r="39" spans="1:20" x14ac:dyDescent="0.35">
      <c r="F39" s="3">
        <v>300</v>
      </c>
      <c r="G39">
        <v>12789.4</v>
      </c>
      <c r="H39">
        <f>G$70*CH3OD36[[#This Row],[T]]^H$70*(I$70+EXP(J$70/CH3OD36[[#This Row],[T]]))</f>
        <v>12778.344105162963</v>
      </c>
      <c r="I39">
        <f>ABS(((CH3OD36[[#This Row],[Q(T)int]]-CH3OD36[[#This Row],[Q(T)actual]]))/CH3OD36[[#This Row],[Q(T)actual]])*100</f>
        <v>8.6445766314574943E-2</v>
      </c>
      <c r="J39" s="4">
        <f>(CH3OD36[[#This Row],[Q(T)int]]/CH3OD36[[#This Row],[Q(T)actual]]-1)*100</f>
        <v>-8.6445766314580119E-2</v>
      </c>
    </row>
    <row r="40" spans="1:20" x14ac:dyDescent="0.35">
      <c r="F40" s="3">
        <v>290</v>
      </c>
      <c r="G40">
        <v>11864.67</v>
      </c>
      <c r="H40">
        <f>G$70*CH3OD36[[#This Row],[T]]^H$70*(I$70+EXP(J$70/CH3OD36[[#This Row],[T]]))</f>
        <v>11873.077641742304</v>
      </c>
      <c r="I40">
        <f>ABS(((CH3OD36[[#This Row],[Q(T)int]]-CH3OD36[[#This Row],[Q(T)actual]]))/CH3OD36[[#This Row],[Q(T)actual]])*100</f>
        <v>7.086283682819576E-2</v>
      </c>
      <c r="J40" s="4">
        <f>(CH3OD36[[#This Row],[Q(T)int]]/CH3OD36[[#This Row],[Q(T)actual]]-1)*100</f>
        <v>7.0862836828200493E-2</v>
      </c>
    </row>
    <row r="41" spans="1:20" x14ac:dyDescent="0.35">
      <c r="F41" s="3">
        <v>280</v>
      </c>
      <c r="G41">
        <v>10992.21</v>
      </c>
      <c r="H41">
        <f>G$70*CH3OD36[[#This Row],[T]]^H$70*(I$70+EXP(J$70/CH3OD36[[#This Row],[T]]))</f>
        <v>11006.544579160241</v>
      </c>
      <c r="I41">
        <f>ABS(((CH3OD36[[#This Row],[Q(T)int]]-CH3OD36[[#This Row],[Q(T)actual]]))/CH3OD36[[#This Row],[Q(T)actual]])*100</f>
        <v>0.13040670766153811</v>
      </c>
      <c r="J41" s="4">
        <f>(CH3OD36[[#This Row],[Q(T)int]]/CH3OD36[[#This Row],[Q(T)actual]]-1)*100</f>
        <v>0.1304067076615345</v>
      </c>
    </row>
    <row r="42" spans="1:20" x14ac:dyDescent="0.35">
      <c r="F42" s="3">
        <v>270</v>
      </c>
      <c r="G42">
        <v>10159.07</v>
      </c>
      <c r="H42">
        <f>G$70*CH3OD36[[#This Row],[T]]^H$70*(I$70+EXP(J$70/CH3OD36[[#This Row],[T]]))</f>
        <v>10178.604495169746</v>
      </c>
      <c r="I42">
        <f>ABS(((CH3OD36[[#This Row],[Q(T)int]]-CH3OD36[[#This Row],[Q(T)actual]]))/CH3OD36[[#This Row],[Q(T)actual]])*100</f>
        <v>0.19228625425108942</v>
      </c>
      <c r="J42" s="4">
        <f>(CH3OD36[[#This Row],[Q(T)int]]/CH3OD36[[#This Row],[Q(T)actual]]-1)*100</f>
        <v>0.19228625425109502</v>
      </c>
    </row>
    <row r="43" spans="1:20" x14ac:dyDescent="0.35">
      <c r="F43" s="3">
        <v>260</v>
      </c>
      <c r="G43">
        <v>9364.74</v>
      </c>
      <c r="H43">
        <f>G$70*CH3OD36[[#This Row],[T]]^H$70*(I$70+EXP(J$70/CH3OD36[[#This Row],[T]]))</f>
        <v>9389.0652931520417</v>
      </c>
      <c r="I43">
        <f>ABS(((CH3OD36[[#This Row],[Q(T)int]]-CH3OD36[[#This Row],[Q(T)actual]]))/CH3OD36[[#This Row],[Q(T)actual]])*100</f>
        <v>0.25975406847431881</v>
      </c>
      <c r="J43" s="4">
        <f>(CH3OD36[[#This Row],[Q(T)int]]/CH3OD36[[#This Row],[Q(T)actual]]-1)*100</f>
        <v>0.25975406847431604</v>
      </c>
    </row>
    <row r="44" spans="1:20" x14ac:dyDescent="0.35">
      <c r="F44" s="3">
        <v>250</v>
      </c>
      <c r="G44">
        <v>8617.18</v>
      </c>
      <c r="H44">
        <f>G$70*CH3OD36[[#This Row],[T]]^H$70*(I$70+EXP(J$70/CH3OD36[[#This Row],[T]]))</f>
        <v>8637.676551625369</v>
      </c>
      <c r="I44">
        <f>ABS(((CH3OD36[[#This Row],[Q(T)int]]-CH3OD36[[#This Row],[Q(T)actual]]))/CH3OD36[[#This Row],[Q(T)actual]])*100</f>
        <v>0.23785683512899508</v>
      </c>
      <c r="J44" s="4">
        <f>(CH3OD36[[#This Row],[Q(T)int]]/CH3OD36[[#This Row],[Q(T)actual]]-1)*100</f>
        <v>0.23785683512900224</v>
      </c>
    </row>
    <row r="45" spans="1:20" x14ac:dyDescent="0.35">
      <c r="F45" s="3">
        <v>240</v>
      </c>
      <c r="G45">
        <v>7913.78</v>
      </c>
      <c r="H45">
        <f>G$70*CH3OD36[[#This Row],[T]]^H$70*(I$70+EXP(J$70/CH3OD36[[#This Row],[T]]))</f>
        <v>7924.1222512480363</v>
      </c>
      <c r="I45">
        <f>ABS(((CH3OD36[[#This Row],[Q(T)int]]-CH3OD36[[#This Row],[Q(T)actual]]))/CH3OD36[[#This Row],[Q(T)actual]])*100</f>
        <v>0.13068661560008643</v>
      </c>
      <c r="J45" s="4">
        <f>(CH3OD36[[#This Row],[Q(T)int]]/CH3OD36[[#This Row],[Q(T)actual]]-1)*100</f>
        <v>0.1306866156000952</v>
      </c>
    </row>
    <row r="46" spans="1:20" x14ac:dyDescent="0.35">
      <c r="F46" s="3">
        <v>230</v>
      </c>
      <c r="G46">
        <v>7237.75</v>
      </c>
      <c r="H46">
        <f>G$70*CH3OD36[[#This Row],[T]]^H$70*(I$70+EXP(J$70/CH3OD36[[#This Row],[T]]))</f>
        <v>7248.0129046498805</v>
      </c>
      <c r="I46">
        <f>ABS(((CH3OD36[[#This Row],[Q(T)int]]-CH3OD36[[#This Row],[Q(T)actual]]))/CH3OD36[[#This Row],[Q(T)actual]])*100</f>
        <v>0.14179689336990794</v>
      </c>
      <c r="J46" s="4">
        <f>(CH3OD36[[#This Row],[Q(T)int]]/CH3OD36[[#This Row],[Q(T)actual]]-1)*100</f>
        <v>0.14179689336990542</v>
      </c>
    </row>
    <row r="47" spans="1:20" x14ac:dyDescent="0.35">
      <c r="F47" s="3">
        <v>220</v>
      </c>
      <c r="G47">
        <v>6610.24</v>
      </c>
      <c r="H47">
        <f>G$70*CH3OD36[[#This Row],[T]]^H$70*(I$70+EXP(J$70/CH3OD36[[#This Row],[T]]))</f>
        <v>6608.8771610104059</v>
      </c>
      <c r="I47">
        <f>ABS(((CH3OD36[[#This Row],[Q(T)int]]-CH3OD36[[#This Row],[Q(T)actual]]))/CH3OD36[[#This Row],[Q(T)actual]])*100</f>
        <v>2.061708787568849E-2</v>
      </c>
      <c r="J47" s="4">
        <f>(CH3OD36[[#This Row],[Q(T)int]]/CH3OD36[[#This Row],[Q(T)actual]]-1)*100</f>
        <v>-2.0617087875685058E-2</v>
      </c>
    </row>
    <row r="48" spans="1:20" x14ac:dyDescent="0.35">
      <c r="F48" s="3">
        <v>210</v>
      </c>
      <c r="G48">
        <v>6009.28</v>
      </c>
      <c r="H48">
        <f>G$70*CH3OD36[[#This Row],[T]]^H$70*(I$70+EXP(J$70/CH3OD36[[#This Row],[T]]))</f>
        <v>6006.1530266229156</v>
      </c>
      <c r="I48">
        <f>ABS(((CH3OD36[[#This Row],[Q(T)int]]-CH3OD36[[#This Row],[Q(T)actual]]))/CH3OD36[[#This Row],[Q(T)actual]])*100</f>
        <v>5.2035741005314134E-2</v>
      </c>
      <c r="J48" s="4">
        <f>(CH3OD36[[#This Row],[Q(T)int]]/CH3OD36[[#This Row],[Q(T)actual]]-1)*100</f>
        <v>-5.2035741005318492E-2</v>
      </c>
    </row>
    <row r="49" spans="6:10" x14ac:dyDescent="0.35">
      <c r="F49" s="3">
        <v>200</v>
      </c>
      <c r="G49">
        <v>5447</v>
      </c>
      <c r="H49">
        <f>G$70*CH3OD36[[#This Row],[T]]^H$70*(I$70+EXP(J$70/CH3OD36[[#This Row],[T]]))</f>
        <v>5439.1789435711144</v>
      </c>
      <c r="I49">
        <f>ABS(((CH3OD36[[#This Row],[Q(T)int]]-CH3OD36[[#This Row],[Q(T)actual]]))/CH3OD36[[#This Row],[Q(T)actual]])*100</f>
        <v>0.14358465997587003</v>
      </c>
      <c r="J49" s="4">
        <f>(CH3OD36[[#This Row],[Q(T)int]]/CH3OD36[[#This Row],[Q(T)actual]]-1)*100</f>
        <v>-0.14358465997587055</v>
      </c>
    </row>
    <row r="50" spans="6:10" x14ac:dyDescent="0.35">
      <c r="F50" s="3">
        <v>190</v>
      </c>
      <c r="G50">
        <v>4916.46</v>
      </c>
      <c r="H50">
        <f>G$70*CH3OD36[[#This Row],[T]]^H$70*(I$70+EXP(J$70/CH3OD36[[#This Row],[T]]))</f>
        <v>4907.1851126867723</v>
      </c>
      <c r="I50">
        <f>ABS(((CH3OD36[[#This Row],[Q(T)int]]-CH3OD36[[#This Row],[Q(T)actual]]))/CH3OD36[[#This Row],[Q(T)actual]])*100</f>
        <v>0.18864970554479721</v>
      </c>
      <c r="J50" s="4">
        <f>(CH3OD36[[#This Row],[Q(T)int]]/CH3OD36[[#This Row],[Q(T)actual]]-1)*100</f>
        <v>-0.18864970554479665</v>
      </c>
    </row>
    <row r="51" spans="6:10" x14ac:dyDescent="0.35">
      <c r="F51" s="3">
        <v>180</v>
      </c>
      <c r="G51">
        <v>4417.2299999999996</v>
      </c>
      <c r="H51">
        <f>G$70*CH3OD36[[#This Row],[T]]^H$70*(I$70+EXP(J$70/CH3OD36[[#This Row],[T]]))</f>
        <v>4409.2856488407697</v>
      </c>
      <c r="I51">
        <f>ABS(((CH3OD36[[#This Row],[Q(T)int]]-CH3OD36[[#This Row],[Q(T)actual]]))/CH3OD36[[#This Row],[Q(T)actual]])*100</f>
        <v>0.17984916246674687</v>
      </c>
      <c r="J51" s="4">
        <f>(CH3OD36[[#This Row],[Q(T)int]]/CH3OD36[[#This Row],[Q(T)actual]]-1)*100</f>
        <v>-0.17984916246674976</v>
      </c>
    </row>
    <row r="52" spans="6:10" x14ac:dyDescent="0.35">
      <c r="F52" s="3">
        <v>170</v>
      </c>
      <c r="G52">
        <v>3952.81</v>
      </c>
      <c r="H52">
        <f>G$70*CH3OD36[[#This Row],[T]]^H$70*(I$70+EXP(J$70/CH3OD36[[#This Row],[T]]))</f>
        <v>3944.4724339351965</v>
      </c>
      <c r="I52">
        <f>ABS(((CH3OD36[[#This Row],[Q(T)int]]-CH3OD36[[#This Row],[Q(T)actual]]))/CH3OD36[[#This Row],[Q(T)actual]])*100</f>
        <v>0.21092756962271061</v>
      </c>
      <c r="J52" s="4">
        <f>(CH3OD36[[#This Row],[Q(T)int]]/CH3OD36[[#This Row],[Q(T)actual]]-1)*100</f>
        <v>-0.21092756962270975</v>
      </c>
    </row>
    <row r="53" spans="6:10" x14ac:dyDescent="0.35">
      <c r="F53" s="3">
        <v>160</v>
      </c>
      <c r="G53">
        <v>3517.84</v>
      </c>
      <c r="H53">
        <f>G$70*CH3OD36[[#This Row],[T]]^H$70*(I$70+EXP(J$70/CH3OD36[[#This Row],[T]]))</f>
        <v>3511.6119047028296</v>
      </c>
      <c r="I53">
        <f>ABS(((CH3OD36[[#This Row],[Q(T)int]]-CH3OD36[[#This Row],[Q(T)actual]]))/CH3OD36[[#This Row],[Q(T)actual]])*100</f>
        <v>0.17704316561215155</v>
      </c>
      <c r="J53" s="4">
        <f>(CH3OD36[[#This Row],[Q(T)int]]/CH3OD36[[#This Row],[Q(T)actual]]-1)*100</f>
        <v>-0.17704316561215627</v>
      </c>
    </row>
    <row r="54" spans="6:10" x14ac:dyDescent="0.35">
      <c r="F54" s="3">
        <v>150</v>
      </c>
      <c r="G54">
        <v>3108.76</v>
      </c>
      <c r="H54">
        <f>G$70*CH3OD36[[#This Row],[T]]^H$70*(I$70+EXP(J$70/CH3OD36[[#This Row],[T]]))</f>
        <v>3109.4464946461694</v>
      </c>
      <c r="I54">
        <f>ABS(((CH3OD36[[#This Row],[Q(T)int]]-CH3OD36[[#This Row],[Q(T)actual]]))/CH3OD36[[#This Row],[Q(T)actual]])*100</f>
        <v>2.2082587467967752E-2</v>
      </c>
      <c r="J54" s="4">
        <f>(CH3OD36[[#This Row],[Q(T)int]]/CH3OD36[[#This Row],[Q(T)actual]]-1)*100</f>
        <v>2.208258746796421E-2</v>
      </c>
    </row>
    <row r="55" spans="6:10" x14ac:dyDescent="0.35">
      <c r="F55" s="3">
        <v>140</v>
      </c>
      <c r="G55">
        <v>2731.61</v>
      </c>
      <c r="H55">
        <f>G$70*CH3OD36[[#This Row],[T]]^H$70*(I$70+EXP(J$70/CH3OD36[[#This Row],[T]]))</f>
        <v>2736.6030453491512</v>
      </c>
      <c r="I55">
        <f>ABS(((CH3OD36[[#This Row],[Q(T)int]]-CH3OD36[[#This Row],[Q(T)actual]]))/CH3OD36[[#This Row],[Q(T)actual]])*100</f>
        <v>0.18278763619810617</v>
      </c>
      <c r="J55" s="4">
        <f>(CH3OD36[[#This Row],[Q(T)int]]/CH3OD36[[#This Row],[Q(T)actual]]-1)*100</f>
        <v>0.18278763619810068</v>
      </c>
    </row>
    <row r="56" spans="6:10" x14ac:dyDescent="0.35">
      <c r="F56" s="3">
        <v>130</v>
      </c>
      <c r="G56">
        <v>2382.27</v>
      </c>
      <c r="H56">
        <f>G$70*CH3OD36[[#This Row],[T]]^H$70*(I$70+EXP(J$70/CH3OD36[[#This Row],[T]]))</f>
        <v>2391.6111818662021</v>
      </c>
      <c r="I56">
        <f>ABS(((CH3OD36[[#This Row],[Q(T)int]]-CH3OD36[[#This Row],[Q(T)actual]]))/CH3OD36[[#This Row],[Q(T)actual]])*100</f>
        <v>0.3921126432437162</v>
      </c>
      <c r="J56" s="4">
        <f>(CH3OD36[[#This Row],[Q(T)int]]/CH3OD36[[#This Row],[Q(T)actual]]-1)*100</f>
        <v>0.39211264324372497</v>
      </c>
    </row>
    <row r="57" spans="6:10" x14ac:dyDescent="0.35">
      <c r="F57" s="3">
        <v>120</v>
      </c>
      <c r="G57">
        <v>2060.0300000000002</v>
      </c>
      <c r="H57">
        <f>G$70*CH3OD36[[#This Row],[T]]^H$70*(I$70+EXP(J$70/CH3OD36[[#This Row],[T]]))</f>
        <v>2072.9353080447277</v>
      </c>
      <c r="I57">
        <f>ABS(((CH3OD36[[#This Row],[Q(T)int]]-CH3OD36[[#This Row],[Q(T)actual]]))/CH3OD36[[#This Row],[Q(T)actual]])*100</f>
        <v>0.62646214107209408</v>
      </c>
      <c r="J57" s="4">
        <f>(CH3OD36[[#This Row],[Q(T)int]]/CH3OD36[[#This Row],[Q(T)actual]]-1)*100</f>
        <v>0.62646214107209275</v>
      </c>
    </row>
    <row r="58" spans="6:10" x14ac:dyDescent="0.35">
      <c r="F58" s="3">
        <v>110</v>
      </c>
      <c r="G58">
        <v>1764.11</v>
      </c>
      <c r="H58">
        <f>G$70*CH3OD36[[#This Row],[T]]^H$70*(I$70+EXP(J$70/CH3OD36[[#This Row],[T]]))</f>
        <v>1779.0242805431824</v>
      </c>
      <c r="I58">
        <f>ABS(((CH3OD36[[#This Row],[Q(T)int]]-CH3OD36[[#This Row],[Q(T)actual]]))/CH3OD36[[#This Row],[Q(T)actual]])*100</f>
        <v>0.84542803698082813</v>
      </c>
      <c r="J58" s="4">
        <f>(CH3OD36[[#This Row],[Q(T)int]]/CH3OD36[[#This Row],[Q(T)actual]]-1)*100</f>
        <v>0.84542803698082203</v>
      </c>
    </row>
    <row r="59" spans="6:10" x14ac:dyDescent="0.35">
      <c r="F59" s="3">
        <v>100</v>
      </c>
      <c r="G59">
        <v>1493.58</v>
      </c>
      <c r="H59">
        <f>G$70*CH3OD36[[#This Row],[T]]^H$70*(I$70+EXP(J$70/CH3OD36[[#This Row],[T]]))</f>
        <v>1508.3824875750067</v>
      </c>
      <c r="I59">
        <f>ABS(((CH3OD36[[#This Row],[Q(T)int]]-CH3OD36[[#This Row],[Q(T)actual]]))/CH3OD36[[#This Row],[Q(T)actual]])*100</f>
        <v>0.99107430301736832</v>
      </c>
      <c r="J59" s="4">
        <f>(CH3OD36[[#This Row],[Q(T)int]]/CH3OD36[[#This Row],[Q(T)actual]]-1)*100</f>
        <v>0.99107430301736965</v>
      </c>
    </row>
    <row r="60" spans="6:10" x14ac:dyDescent="0.35">
      <c r="F60" s="3">
        <v>90</v>
      </c>
      <c r="G60">
        <v>1247.44</v>
      </c>
      <c r="H60">
        <f>G$70*CH3OD36[[#This Row],[T]]^H$70*(I$70+EXP(J$70/CH3OD36[[#This Row],[T]]))</f>
        <v>1259.6641653223728</v>
      </c>
      <c r="I60">
        <f>ABS(((CH3OD36[[#This Row],[Q(T)int]]-CH3OD36[[#This Row],[Q(T)actual]]))/CH3OD36[[#This Row],[Q(T)actual]])*100</f>
        <v>0.97994014320310041</v>
      </c>
      <c r="J60" s="4">
        <f>(CH3OD36[[#This Row],[Q(T)int]]/CH3OD36[[#This Row],[Q(T)actual]]-1)*100</f>
        <v>0.9799401432031063</v>
      </c>
    </row>
    <row r="61" spans="6:10" x14ac:dyDescent="0.35">
      <c r="F61" s="3">
        <v>80</v>
      </c>
      <c r="G61">
        <v>1024.53</v>
      </c>
      <c r="H61">
        <f>G$70*CH3OD36[[#This Row],[T]]^H$70*(I$70+EXP(J$70/CH3OD36[[#This Row],[T]]))</f>
        <v>1031.7881587517586</v>
      </c>
      <c r="I61">
        <f>ABS(((CH3OD36[[#This Row],[Q(T)int]]-CH3OD36[[#This Row],[Q(T)actual]]))/CH3OD36[[#This Row],[Q(T)actual]])*100</f>
        <v>0.70843789364475707</v>
      </c>
      <c r="J61" s="4">
        <f>(CH3OD36[[#This Row],[Q(T)int]]/CH3OD36[[#This Row],[Q(T)actual]]-1)*100</f>
        <v>0.70843789364476439</v>
      </c>
    </row>
    <row r="62" spans="6:10" x14ac:dyDescent="0.35">
      <c r="F62" s="3">
        <v>70</v>
      </c>
      <c r="G62">
        <v>823.61</v>
      </c>
      <c r="H62">
        <f>G$70*CH3OD36[[#This Row],[T]]^H$70*(I$70+EXP(J$70/CH3OD36[[#This Row],[T]]))</f>
        <v>824.06193384686117</v>
      </c>
      <c r="I62">
        <f>ABS(((CH3OD36[[#This Row],[Q(T)int]]-CH3OD36[[#This Row],[Q(T)actual]]))/CH3OD36[[#This Row],[Q(T)actual]])*100</f>
        <v>5.4872311756917987E-2</v>
      </c>
      <c r="J62" s="4">
        <f>(CH3OD36[[#This Row],[Q(T)int]]/CH3OD36[[#This Row],[Q(T)actual]]-1)*100</f>
        <v>5.4872311756914982E-2</v>
      </c>
    </row>
    <row r="63" spans="6:10" x14ac:dyDescent="0.35">
      <c r="F63" s="3">
        <v>60</v>
      </c>
      <c r="G63">
        <v>643.39</v>
      </c>
      <c r="H63">
        <f>G$70*CH3OD36[[#This Row],[T]]^H$70*(I$70+EXP(J$70/CH3OD36[[#This Row],[T]]))</f>
        <v>636.29237474578838</v>
      </c>
      <c r="I63">
        <f>ABS(((CH3OD36[[#This Row],[Q(T)int]]-CH3OD36[[#This Row],[Q(T)actual]]))/CH3OD36[[#This Row],[Q(T)actual]])*100</f>
        <v>1.10316064194526</v>
      </c>
      <c r="J63" s="4">
        <f>(CH3OD36[[#This Row],[Q(T)int]]/CH3OD36[[#This Row],[Q(T)actual]]-1)*100</f>
        <v>-1.1031606419452555</v>
      </c>
    </row>
    <row r="64" spans="6:10" x14ac:dyDescent="0.35">
      <c r="F64" s="3">
        <v>50</v>
      </c>
      <c r="G64">
        <v>482.67</v>
      </c>
      <c r="H64">
        <f>G$70*CH3OD36[[#This Row],[T]]^H$70*(I$70+EXP(J$70/CH3OD36[[#This Row],[T]]))</f>
        <v>468.85383059098785</v>
      </c>
      <c r="I64">
        <f>ABS(((CH3OD36[[#This Row],[Q(T)int]]-CH3OD36[[#This Row],[Q(T)actual]]))/CH3OD36[[#This Row],[Q(T)actual]])*100</f>
        <v>2.8624462695034207</v>
      </c>
      <c r="J64" s="4">
        <f>(CH3OD36[[#This Row],[Q(T)int]]/CH3OD36[[#This Row],[Q(T)actual]]-1)*100</f>
        <v>-2.8624462695034159</v>
      </c>
    </row>
    <row r="65" spans="6:10" x14ac:dyDescent="0.35">
      <c r="F65" s="3">
        <v>40</v>
      </c>
      <c r="G65">
        <v>340.63</v>
      </c>
      <c r="H65">
        <f>G$70*CH3OD36[[#This Row],[T]]^H$70*(I$70+EXP(J$70/CH3OD36[[#This Row],[T]]))</f>
        <v>322.69954364146793</v>
      </c>
      <c r="I65">
        <f>ABS(((CH3OD36[[#This Row],[Q(T)int]]-CH3OD36[[#This Row],[Q(T)actual]]))/CH3OD36[[#This Row],[Q(T)actual]])*100</f>
        <v>5.2639099194234413</v>
      </c>
      <c r="J65" s="4">
        <f>(CH3OD36[[#This Row],[Q(T)int]]/CH3OD36[[#This Row],[Q(T)actual]]-1)*100</f>
        <v>-5.2639099194234369</v>
      </c>
    </row>
    <row r="66" spans="6:10" x14ac:dyDescent="0.35">
      <c r="F66" s="3">
        <v>30</v>
      </c>
      <c r="G66">
        <v>217.37</v>
      </c>
      <c r="H66">
        <f>G$70*CH3OD36[[#This Row],[T]]^H$70*(I$70+EXP(J$70/CH3OD36[[#This Row],[T]]))</f>
        <v>199.36557716357947</v>
      </c>
      <c r="I66">
        <f>ABS(((CH3OD36[[#This Row],[Q(T)int]]-CH3OD36[[#This Row],[Q(T)actual]]))/CH3OD36[[#This Row],[Q(T)actual]])*100</f>
        <v>8.2828462236833662</v>
      </c>
      <c r="J66" s="4">
        <f>(CH3OD36[[#This Row],[Q(T)int]]/CH3OD36[[#This Row],[Q(T)actual]]-1)*100</f>
        <v>-8.2828462236833609</v>
      </c>
    </row>
    <row r="67" spans="6:10" x14ac:dyDescent="0.35">
      <c r="F67" s="3">
        <v>20</v>
      </c>
      <c r="G67">
        <v>114.73</v>
      </c>
      <c r="H67">
        <f>G$70*CH3OD36[[#This Row],[T]]^H$70*(I$70+EXP(J$70/CH3OD36[[#This Row],[T]]))</f>
        <v>101.12846146173204</v>
      </c>
      <c r="I67">
        <f>ABS(((CH3OD36[[#This Row],[Q(T)int]]-CH3OD36[[#This Row],[Q(T)actual]]))/CH3OD36[[#This Row],[Q(T)actual]])*100</f>
        <v>11.855258902002928</v>
      </c>
      <c r="J67" s="4">
        <f>(CH3OD36[[#This Row],[Q(T)int]]/CH3OD36[[#This Row],[Q(T)actual]]-1)*100</f>
        <v>-11.85525890200293</v>
      </c>
    </row>
    <row r="68" spans="6:10" x14ac:dyDescent="0.35">
      <c r="F68" s="3">
        <v>10</v>
      </c>
      <c r="G68">
        <v>37.54</v>
      </c>
      <c r="H68">
        <f>G$70*CH3OD36[[#This Row],[T]]^H$70*(I$70+EXP(J$70/CH3OD36[[#This Row],[T]]))</f>
        <v>31.691966437122389</v>
      </c>
      <c r="I68">
        <f>ABS(((CH3OD36[[#This Row],[Q(T)int]]-CH3OD36[[#This Row],[Q(T)actual]]))/CH3OD36[[#This Row],[Q(T)actual]])*100</f>
        <v>15.578139485555702</v>
      </c>
      <c r="J68" s="4">
        <f>(CH3OD36[[#This Row],[Q(T)int]]/CH3OD36[[#This Row],[Q(T)actual]]-1)*100</f>
        <v>-15.578139485555697</v>
      </c>
    </row>
    <row r="69" spans="6:10" x14ac:dyDescent="0.35">
      <c r="F69" s="3" t="s">
        <v>12</v>
      </c>
      <c r="G69" t="s">
        <v>7</v>
      </c>
      <c r="H69" t="s">
        <v>8</v>
      </c>
      <c r="I69" t="s">
        <v>9</v>
      </c>
      <c r="J69" s="4" t="s">
        <v>10</v>
      </c>
    </row>
    <row r="70" spans="6:10" x14ac:dyDescent="0.35">
      <c r="F70" s="3"/>
      <c r="G70">
        <v>1.583</v>
      </c>
      <c r="H70">
        <v>1.6739999999999999</v>
      </c>
      <c r="I70">
        <v>0.42409999999999998</v>
      </c>
      <c r="J70" s="4">
        <v>-565.70000000000005</v>
      </c>
    </row>
    <row r="71" spans="6:10" x14ac:dyDescent="0.35">
      <c r="F71" s="3" t="s">
        <v>15</v>
      </c>
      <c r="G71">
        <v>1</v>
      </c>
      <c r="H71">
        <v>1.5</v>
      </c>
      <c r="I71">
        <v>0</v>
      </c>
      <c r="J71" s="4">
        <v>0</v>
      </c>
    </row>
    <row r="72" spans="6:10" ht="15" thickBot="1" x14ac:dyDescent="0.4">
      <c r="F72" s="5" t="s">
        <v>18</v>
      </c>
      <c r="G72" s="6" t="s">
        <v>19</v>
      </c>
      <c r="H72" s="6" t="s">
        <v>21</v>
      </c>
      <c r="I72" s="6" t="s">
        <v>20</v>
      </c>
      <c r="J72" s="7" t="s">
        <v>20</v>
      </c>
    </row>
  </sheetData>
  <mergeCells count="5">
    <mergeCell ref="A1:E1"/>
    <mergeCell ref="F1:J1"/>
    <mergeCell ref="K1:O1"/>
    <mergeCell ref="P1:T1"/>
    <mergeCell ref="F37:J37"/>
  </mergeCells>
  <phoneticPr fontId="1" type="noConversion"/>
  <conditionalFormatting sqref="D3:D32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3:I3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39:I6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9:J6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:N3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3:O3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3:S3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03E1-85BA-4753-9D8E-7B2539459F94}">
  <dimension ref="A1:I13"/>
  <sheetViews>
    <sheetView workbookViewId="0">
      <selection activeCell="E10" sqref="A1:I13"/>
    </sheetView>
  </sheetViews>
  <sheetFormatPr defaultRowHeight="14.5" x14ac:dyDescent="0.35"/>
  <cols>
    <col min="1" max="1" width="13.90625" bestFit="1" customWidth="1"/>
  </cols>
  <sheetData>
    <row r="1" spans="1:9" x14ac:dyDescent="0.35">
      <c r="A1" t="s">
        <v>0</v>
      </c>
      <c r="B1" t="s">
        <v>5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45601.2912</v>
      </c>
      <c r="C2">
        <f>$F$2*A2^$G$2*($H$2+EXP($I$2/A2))</f>
        <v>45602.616490203174</v>
      </c>
      <c r="D2">
        <f>ABS(B2-C2)/B2*100</f>
        <v>2.9062558719269728E-3</v>
      </c>
      <c r="E2" s="10">
        <f>((C2/B2)-1)*100</f>
        <v>2.9062558719372689E-3</v>
      </c>
      <c r="F2">
        <v>6.7212399999999999</v>
      </c>
      <c r="G2">
        <v>1.4987699999999999</v>
      </c>
      <c r="H2">
        <v>0.49643199999999998</v>
      </c>
      <c r="I2">
        <v>-60.082299999999996</v>
      </c>
    </row>
    <row r="3" spans="1:9" x14ac:dyDescent="0.35">
      <c r="A3" s="8">
        <v>250</v>
      </c>
      <c r="B3">
        <v>33853.128799999999</v>
      </c>
      <c r="C3">
        <f t="shared" ref="C3:C10" si="0">$F$2*A3^$G$2*($H$2+EXP($I$2/A3))</f>
        <v>33850.822191681997</v>
      </c>
      <c r="D3">
        <f t="shared" ref="D3:D10" si="1">ABS(B3-C3)/B3*100</f>
        <v>6.8135749922233575E-3</v>
      </c>
      <c r="E3" s="10">
        <f t="shared" ref="E3:E10" si="2">((C3/B3)-1)*100</f>
        <v>-6.8135749922260125E-3</v>
      </c>
    </row>
    <row r="4" spans="1:9" x14ac:dyDescent="0.35">
      <c r="A4" s="8">
        <v>225</v>
      </c>
      <c r="B4">
        <v>28439.894199999999</v>
      </c>
      <c r="C4">
        <f t="shared" si="0"/>
        <v>28439.172778668115</v>
      </c>
      <c r="D4">
        <f t="shared" si="1"/>
        <v>2.536652657040837E-3</v>
      </c>
      <c r="E4" s="10">
        <f t="shared" si="2"/>
        <v>-2.536652657036953E-3</v>
      </c>
    </row>
    <row r="5" spans="1:9" x14ac:dyDescent="0.35">
      <c r="A5" s="8">
        <v>180</v>
      </c>
      <c r="B5">
        <v>19556.003799999999</v>
      </c>
      <c r="C5">
        <f t="shared" si="0"/>
        <v>19557.554588217361</v>
      </c>
      <c r="D5">
        <f t="shared" si="1"/>
        <v>7.9299852527254262E-3</v>
      </c>
      <c r="E5" s="10">
        <f t="shared" si="2"/>
        <v>7.9299852527192627E-3</v>
      </c>
    </row>
    <row r="6" spans="1:9" x14ac:dyDescent="0.35">
      <c r="A6" s="8">
        <v>150</v>
      </c>
      <c r="B6">
        <v>14312.3251</v>
      </c>
      <c r="C6">
        <f t="shared" si="0"/>
        <v>14313.682807327976</v>
      </c>
      <c r="D6">
        <f t="shared" si="1"/>
        <v>9.4862806601265053E-3</v>
      </c>
      <c r="E6" s="10">
        <f t="shared" si="2"/>
        <v>9.4862806601314631E-3</v>
      </c>
    </row>
    <row r="7" spans="1:9" x14ac:dyDescent="0.35">
      <c r="A7" s="8">
        <v>120</v>
      </c>
      <c r="B7">
        <v>9684.0547999999999</v>
      </c>
      <c r="C7">
        <f t="shared" si="0"/>
        <v>9684.1369348437202</v>
      </c>
      <c r="D7">
        <f t="shared" si="1"/>
        <v>8.4814517695902232E-4</v>
      </c>
      <c r="E7" s="10">
        <f t="shared" si="2"/>
        <v>8.4814517695708247E-4</v>
      </c>
    </row>
    <row r="8" spans="1:9" x14ac:dyDescent="0.35">
      <c r="A8" s="9">
        <v>75</v>
      </c>
      <c r="B8">
        <v>4106.4005999999999</v>
      </c>
      <c r="C8">
        <f t="shared" si="0"/>
        <v>4104.7811532608748</v>
      </c>
      <c r="D8">
        <f t="shared" si="1"/>
        <v>3.9437134777476991E-2</v>
      </c>
      <c r="E8" s="10">
        <f t="shared" si="2"/>
        <v>-3.9437134777475791E-2</v>
      </c>
    </row>
    <row r="9" spans="1:9" x14ac:dyDescent="0.35">
      <c r="A9" s="9">
        <v>37.5</v>
      </c>
      <c r="B9">
        <v>1072.4177999999999</v>
      </c>
      <c r="C9">
        <f t="shared" si="0"/>
        <v>1072.3700486575387</v>
      </c>
      <c r="D9">
        <f t="shared" si="1"/>
        <v>4.4526808918312491E-3</v>
      </c>
      <c r="E9" s="10">
        <f t="shared" si="2"/>
        <v>-4.4526808918310401E-3</v>
      </c>
    </row>
    <row r="10" spans="1:9" x14ac:dyDescent="0.35">
      <c r="A10">
        <v>18.75</v>
      </c>
      <c r="B10">
        <v>290.94630000000001</v>
      </c>
      <c r="C10">
        <f t="shared" si="0"/>
        <v>291.99302959085941</v>
      </c>
      <c r="D10">
        <f t="shared" si="1"/>
        <v>0.35976728037421324</v>
      </c>
      <c r="E10" s="10">
        <f t="shared" si="2"/>
        <v>0.35976728037421246</v>
      </c>
    </row>
    <row r="11" spans="1:9" x14ac:dyDescent="0.35">
      <c r="A11">
        <v>9.375</v>
      </c>
      <c r="B11">
        <v>95.596999999999994</v>
      </c>
      <c r="C11">
        <f t="shared" ref="C11:C13" si="3">$F$2*A11^$G$2*($H$2+EXP($I$2/A11))</f>
        <v>95.831669702960326</v>
      </c>
      <c r="D11">
        <f t="shared" ref="D11:D13" si="4">ABS(B11-C11)/B11*100</f>
        <v>0.24547810387389979</v>
      </c>
      <c r="E11" s="10">
        <f t="shared" ref="E11:E13" si="5">((C11/B11)-1)*100</f>
        <v>0.24547810387389735</v>
      </c>
    </row>
    <row r="12" spans="1:9" x14ac:dyDescent="0.35">
      <c r="A12" s="10">
        <v>5</v>
      </c>
      <c r="B12">
        <v>37.542499999999997</v>
      </c>
      <c r="C12">
        <f t="shared" si="3"/>
        <v>37.231431315730035</v>
      </c>
      <c r="D12">
        <f t="shared" si="4"/>
        <v>0.82857743695801334</v>
      </c>
      <c r="E12" s="10">
        <f t="shared" si="5"/>
        <v>-0.82857743695801123</v>
      </c>
    </row>
    <row r="13" spans="1:9" x14ac:dyDescent="0.35">
      <c r="A13">
        <v>2.7250000000000001</v>
      </c>
      <c r="B13">
        <v>15.4354</v>
      </c>
      <c r="C13">
        <f t="shared" si="3"/>
        <v>14.99075239938402</v>
      </c>
      <c r="D13">
        <f t="shared" si="4"/>
        <v>2.8807002126020698</v>
      </c>
      <c r="E13" s="10">
        <f t="shared" si="5"/>
        <v>-2.880700212602072</v>
      </c>
    </row>
  </sheetData>
  <conditionalFormatting sqref="D2:D1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1039-087C-4200-AB26-448B00DDC840}">
  <dimension ref="A1:L16"/>
  <sheetViews>
    <sheetView tabSelected="1" workbookViewId="0">
      <selection activeCell="H12" sqref="H12"/>
    </sheetView>
  </sheetViews>
  <sheetFormatPr defaultRowHeight="14.5" x14ac:dyDescent="0.35"/>
  <cols>
    <col min="1" max="1" width="8.7265625" customWidth="1"/>
    <col min="4" max="4" width="10.36328125" bestFit="1" customWidth="1"/>
    <col min="11" max="11" width="13.90625" bestFit="1" customWidth="1"/>
  </cols>
  <sheetData>
    <row r="1" spans="1:12" x14ac:dyDescent="0.35">
      <c r="A1" t="s">
        <v>0</v>
      </c>
      <c r="B1" t="s">
        <v>5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L1" s="8"/>
    </row>
    <row r="2" spans="1:12" x14ac:dyDescent="0.35">
      <c r="A2" s="8">
        <v>300</v>
      </c>
      <c r="B2">
        <v>35908.548199999997</v>
      </c>
      <c r="C2">
        <f>$F$2*A2^$G$2*($H$2+EXP($I$2/A2))</f>
        <v>35893.514051854821</v>
      </c>
      <c r="D2" s="2">
        <f>ABS(B2-C2)/B2*100</f>
        <v>4.1867880765995451E-2</v>
      </c>
      <c r="E2" s="10">
        <f>((C2/B2)-1)*100</f>
        <v>-4.186788076600001E-2</v>
      </c>
      <c r="F2">
        <v>6.9077099999999998</v>
      </c>
      <c r="G2">
        <v>1.5</v>
      </c>
      <c r="H2">
        <v>0</v>
      </c>
      <c r="I2">
        <v>0</v>
      </c>
      <c r="L2" s="8"/>
    </row>
    <row r="3" spans="1:12" x14ac:dyDescent="0.35">
      <c r="A3" s="8">
        <v>225</v>
      </c>
      <c r="B3">
        <v>23311.731400000001</v>
      </c>
      <c r="C3">
        <f t="shared" ref="C3:C13" si="0">$F$2*A3^$G$2*($H$2+EXP($I$2/A3))</f>
        <v>23313.521249999991</v>
      </c>
      <c r="D3" s="2">
        <f t="shared" ref="D3:D13" si="1">ABS(B3-C3)/B3*100</f>
        <v>7.6778938864665823E-3</v>
      </c>
      <c r="E3" s="10">
        <f t="shared" ref="E3:E13" si="2">((C3/B3)-1)*100</f>
        <v>7.6778938864707769E-3</v>
      </c>
      <c r="L3" s="8"/>
    </row>
    <row r="4" spans="1:12" x14ac:dyDescent="0.35">
      <c r="A4" s="8">
        <v>200</v>
      </c>
      <c r="B4">
        <v>19533.523000000001</v>
      </c>
      <c r="C4">
        <f t="shared" si="0"/>
        <v>19537.954333880487</v>
      </c>
      <c r="D4" s="2">
        <f t="shared" si="1"/>
        <v>2.2685789350369148E-2</v>
      </c>
      <c r="E4" s="10">
        <f t="shared" si="2"/>
        <v>2.2685789350362917E-2</v>
      </c>
      <c r="L4" s="8"/>
    </row>
    <row r="5" spans="1:12" x14ac:dyDescent="0.35">
      <c r="A5" s="8">
        <v>180</v>
      </c>
      <c r="B5">
        <v>16676.162</v>
      </c>
      <c r="C5">
        <f t="shared" si="0"/>
        <v>16681.797859163478</v>
      </c>
      <c r="D5" s="2">
        <f t="shared" si="1"/>
        <v>3.3795900780275563E-2</v>
      </c>
      <c r="E5" s="10">
        <f t="shared" si="2"/>
        <v>3.3795900780275723E-2</v>
      </c>
      <c r="L5" s="8"/>
    </row>
    <row r="6" spans="1:12" x14ac:dyDescent="0.35">
      <c r="A6" s="8">
        <v>160</v>
      </c>
      <c r="B6">
        <v>13974.102800000001</v>
      </c>
      <c r="C6">
        <f t="shared" si="0"/>
        <v>13980.222090189891</v>
      </c>
      <c r="D6" s="2">
        <f t="shared" si="1"/>
        <v>4.3790218788789123E-2</v>
      </c>
      <c r="E6" s="10">
        <f t="shared" si="2"/>
        <v>4.3790218788797297E-2</v>
      </c>
      <c r="L6" s="8"/>
    </row>
    <row r="7" spans="1:12" x14ac:dyDescent="0.35">
      <c r="A7" s="8">
        <v>150</v>
      </c>
      <c r="B7">
        <v>12684.1559</v>
      </c>
      <c r="C7">
        <f t="shared" si="0"/>
        <v>12690.273593340586</v>
      </c>
      <c r="D7" s="2">
        <f t="shared" si="1"/>
        <v>4.8230985087355335E-2</v>
      </c>
      <c r="E7" s="10">
        <f t="shared" si="2"/>
        <v>4.8230985087349687E-2</v>
      </c>
      <c r="L7" s="8"/>
    </row>
    <row r="8" spans="1:12" x14ac:dyDescent="0.35">
      <c r="A8" s="8">
        <v>140</v>
      </c>
      <c r="B8">
        <v>11436.6684</v>
      </c>
      <c r="C8">
        <f t="shared" si="0"/>
        <v>11442.637773984205</v>
      </c>
      <c r="D8" s="2">
        <f t="shared" si="1"/>
        <v>5.2195042956776988E-2</v>
      </c>
      <c r="E8" s="10">
        <f t="shared" si="2"/>
        <v>5.2195042956770799E-2</v>
      </c>
      <c r="L8" s="8"/>
    </row>
    <row r="9" spans="1:12" x14ac:dyDescent="0.35">
      <c r="A9" s="8">
        <v>120</v>
      </c>
      <c r="B9">
        <v>9075.1368999999995</v>
      </c>
      <c r="C9">
        <f t="shared" si="0"/>
        <v>9080.4206104896275</v>
      </c>
      <c r="D9" s="2">
        <f t="shared" si="1"/>
        <v>5.8221826820353449E-2</v>
      </c>
      <c r="E9" s="10">
        <f t="shared" si="2"/>
        <v>5.8221826820359368E-2</v>
      </c>
      <c r="L9" s="8"/>
    </row>
    <row r="10" spans="1:12" x14ac:dyDescent="0.35">
      <c r="A10" s="8">
        <v>100</v>
      </c>
      <c r="B10">
        <v>6903.5367999999999</v>
      </c>
      <c r="C10">
        <f t="shared" si="0"/>
        <v>6907.7100000000046</v>
      </c>
      <c r="D10" s="2">
        <f t="shared" si="1"/>
        <v>6.0450173887748766E-2</v>
      </c>
      <c r="E10" s="10">
        <f t="shared" si="2"/>
        <v>6.0450173887738323E-2</v>
      </c>
      <c r="L10" s="9"/>
    </row>
    <row r="11" spans="1:12" x14ac:dyDescent="0.35">
      <c r="A11" s="9">
        <v>75</v>
      </c>
      <c r="B11">
        <v>4484.3001999999997</v>
      </c>
      <c r="C11">
        <f t="shared" si="0"/>
        <v>4486.6892564818509</v>
      </c>
      <c r="D11" s="2">
        <f t="shared" si="1"/>
        <v>5.3276015772788475E-2</v>
      </c>
      <c r="E11" s="10">
        <f t="shared" si="2"/>
        <v>5.3276015772785179E-2</v>
      </c>
    </row>
    <row r="12" spans="1:12" x14ac:dyDescent="0.35">
      <c r="A12">
        <v>37.5</v>
      </c>
      <c r="B12">
        <v>1586.6614999999999</v>
      </c>
      <c r="C12">
        <f t="shared" si="0"/>
        <v>1586.2841991675741</v>
      </c>
      <c r="D12" s="2">
        <f t="shared" si="1"/>
        <v>2.3779541661899349E-2</v>
      </c>
      <c r="E12" s="10">
        <f t="shared" si="2"/>
        <v>-2.3779541661894665E-2</v>
      </c>
    </row>
    <row r="13" spans="1:12" x14ac:dyDescent="0.35">
      <c r="A13">
        <v>18.75</v>
      </c>
      <c r="B13">
        <v>562.0797</v>
      </c>
      <c r="C13">
        <f t="shared" si="0"/>
        <v>560.83615706023181</v>
      </c>
      <c r="D13" s="2">
        <f t="shared" si="1"/>
        <v>0.22123961064030423</v>
      </c>
      <c r="E13" s="10">
        <f t="shared" si="2"/>
        <v>-0.22123961064030029</v>
      </c>
    </row>
    <row r="14" spans="1:12" x14ac:dyDescent="0.35">
      <c r="A14">
        <v>9.375</v>
      </c>
      <c r="B14">
        <v>199.5575</v>
      </c>
      <c r="C14">
        <f t="shared" ref="C14:C16" si="3">$F$2*A14^$G$2*($H$2+EXP($I$2/A14))</f>
        <v>198.28552489594671</v>
      </c>
      <c r="D14" s="2">
        <f t="shared" ref="D14:D16" si="4">ABS(B14-C14)/B14*100</f>
        <v>0.63739779464730562</v>
      </c>
      <c r="E14" s="10">
        <f t="shared" ref="E14:E16" si="5">((C14/B14)-1)*100</f>
        <v>-0.63739779464730972</v>
      </c>
      <c r="L14" s="10"/>
    </row>
    <row r="15" spans="1:12" x14ac:dyDescent="0.35">
      <c r="A15" s="10">
        <v>5</v>
      </c>
      <c r="B15">
        <v>78.305800000000005</v>
      </c>
      <c r="C15">
        <f t="shared" si="3"/>
        <v>77.230545644275338</v>
      </c>
      <c r="D15" s="2">
        <f t="shared" si="4"/>
        <v>1.3731477818050091</v>
      </c>
      <c r="E15" s="10">
        <f t="shared" si="5"/>
        <v>-1.3731477818050064</v>
      </c>
    </row>
    <row r="16" spans="1:12" x14ac:dyDescent="0.35">
      <c r="A16">
        <v>2.7250000000000001</v>
      </c>
      <c r="B16">
        <v>31.9312</v>
      </c>
      <c r="C16">
        <f t="shared" si="3"/>
        <v>31.073048049961884</v>
      </c>
      <c r="D16" s="2">
        <f t="shared" si="4"/>
        <v>2.6875029752659372</v>
      </c>
      <c r="E16" s="10">
        <f t="shared" si="5"/>
        <v>-2.6875029752659318</v>
      </c>
    </row>
  </sheetData>
  <conditionalFormatting sqref="D2:D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4EDE-CF2D-4256-8906-F8431B95C590}">
  <dimension ref="A1:I10"/>
  <sheetViews>
    <sheetView workbookViewId="0">
      <selection activeCell="C1" sqref="C1:I10"/>
    </sheetView>
  </sheetViews>
  <sheetFormatPr defaultRowHeight="14.5" x14ac:dyDescent="0.35"/>
  <sheetData>
    <row r="1" spans="1:9" x14ac:dyDescent="0.35">
      <c r="A1" t="s">
        <v>0</v>
      </c>
      <c r="B1" t="s">
        <v>5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>
        <v>300</v>
      </c>
      <c r="B2">
        <v>1945.2333000000001</v>
      </c>
      <c r="C2">
        <f>$F$2*A2^$G$2*($H$2+EXP($I$2/A2))</f>
        <v>1944.94956901049</v>
      </c>
      <c r="D2">
        <f>ABS(B2-C2)/B2*100</f>
        <v>1.4585961977419589E-2</v>
      </c>
      <c r="E2">
        <f>((C2/B2)-1)*100</f>
        <v>-1.4585961977420236E-2</v>
      </c>
      <c r="F2">
        <v>1.5087410000000001E-2</v>
      </c>
      <c r="G2">
        <v>1.5</v>
      </c>
      <c r="H2">
        <v>23.787733200000002</v>
      </c>
      <c r="I2">
        <v>6.3552830199999999</v>
      </c>
    </row>
    <row r="3" spans="1:9" x14ac:dyDescent="0.35">
      <c r="A3">
        <v>225</v>
      </c>
      <c r="B3">
        <v>1263.3349000000001</v>
      </c>
      <c r="C3">
        <f t="shared" ref="C3:C10" si="0">$F$2*A3^$G$2*($H$2+EXP($I$2/A3))</f>
        <v>1263.6503679435427</v>
      </c>
      <c r="D3">
        <f t="shared" ref="D3:D10" si="1">ABS(B3-C3)/B3*100</f>
        <v>2.4971046358544476E-2</v>
      </c>
      <c r="E3">
        <f t="shared" ref="E3:E10" si="2">((C3/B3)-1)*100</f>
        <v>2.4971046358546189E-2</v>
      </c>
    </row>
    <row r="4" spans="1:9" x14ac:dyDescent="0.35">
      <c r="A4">
        <v>150</v>
      </c>
      <c r="B4">
        <v>687.96310000000005</v>
      </c>
      <c r="C4">
        <f t="shared" si="0"/>
        <v>688.24965566143987</v>
      </c>
      <c r="D4">
        <f t="shared" si="1"/>
        <v>4.1652766178857575E-2</v>
      </c>
      <c r="E4">
        <f t="shared" si="2"/>
        <v>4.1652766178867928E-2</v>
      </c>
    </row>
    <row r="5" spans="1:9" x14ac:dyDescent="0.35">
      <c r="A5">
        <v>75</v>
      </c>
      <c r="B5">
        <v>243.84880000000001</v>
      </c>
      <c r="C5">
        <f t="shared" si="0"/>
        <v>243.77546884491952</v>
      </c>
      <c r="D5">
        <f t="shared" si="1"/>
        <v>3.0072387102374747E-2</v>
      </c>
      <c r="E5">
        <f t="shared" si="2"/>
        <v>-3.0072387102375586E-2</v>
      </c>
    </row>
    <row r="6" spans="1:9" x14ac:dyDescent="0.35">
      <c r="A6">
        <v>37.5</v>
      </c>
      <c r="B6">
        <v>86.735600000000005</v>
      </c>
      <c r="C6">
        <f t="shared" si="0"/>
        <v>86.521120978176072</v>
      </c>
      <c r="D6">
        <f t="shared" si="1"/>
        <v>0.24727911241051384</v>
      </c>
      <c r="E6">
        <f t="shared" si="2"/>
        <v>-0.24727911241051448</v>
      </c>
    </row>
    <row r="7" spans="1:9" x14ac:dyDescent="0.35">
      <c r="A7">
        <v>18.75</v>
      </c>
      <c r="B7">
        <v>31.055499999999999</v>
      </c>
      <c r="C7">
        <f t="shared" si="0"/>
        <v>30.857840380271224</v>
      </c>
      <c r="D7">
        <f t="shared" si="1"/>
        <v>0.63647218601785438</v>
      </c>
      <c r="E7">
        <f t="shared" si="2"/>
        <v>-0.63647218601785571</v>
      </c>
    </row>
    <row r="8" spans="1:9" x14ac:dyDescent="0.35">
      <c r="A8">
        <v>9.375</v>
      </c>
      <c r="B8">
        <v>11.268000000000001</v>
      </c>
      <c r="C8">
        <f t="shared" si="0"/>
        <v>11.155131843390771</v>
      </c>
      <c r="D8">
        <f t="shared" si="1"/>
        <v>1.001669831462809</v>
      </c>
      <c r="E8">
        <f t="shared" si="2"/>
        <v>-1.0016698314628036</v>
      </c>
    </row>
    <row r="9" spans="1:9" x14ac:dyDescent="0.35">
      <c r="A9">
        <v>5</v>
      </c>
      <c r="B9">
        <v>4.6482999999999999</v>
      </c>
      <c r="C9">
        <f t="shared" si="0"/>
        <v>4.6138593002006587</v>
      </c>
      <c r="D9">
        <f t="shared" si="1"/>
        <v>0.74093108877097369</v>
      </c>
      <c r="E9">
        <f t="shared" si="2"/>
        <v>-0.74093108877096858</v>
      </c>
    </row>
    <row r="10" spans="1:9" x14ac:dyDescent="0.35">
      <c r="A10">
        <v>2.7250000000000001</v>
      </c>
      <c r="B10">
        <v>2.2608000000000001</v>
      </c>
      <c r="C10">
        <f t="shared" si="0"/>
        <v>2.3135120613627089</v>
      </c>
      <c r="D10">
        <f t="shared" si="1"/>
        <v>2.3315667623278831</v>
      </c>
      <c r="E10">
        <f t="shared" si="2"/>
        <v>2.3315667623278857</v>
      </c>
    </row>
  </sheetData>
  <conditionalFormatting sqref="D2:D1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9195-70C7-403F-A877-83E806E78F90}">
  <dimension ref="A1:I5"/>
  <sheetViews>
    <sheetView workbookViewId="0">
      <selection activeCell="D5" sqref="D5"/>
    </sheetView>
  </sheetViews>
  <sheetFormatPr defaultRowHeight="14.5" x14ac:dyDescent="0.35"/>
  <sheetData>
    <row r="1" spans="1:9" x14ac:dyDescent="0.35">
      <c r="A1" t="s">
        <v>0</v>
      </c>
      <c r="B1" t="s">
        <v>5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>
        <v>300</v>
      </c>
      <c r="B2">
        <v>250.70230000000001</v>
      </c>
      <c r="C2">
        <f>$F$2*A2^$G$2*($H$2+EXP($I$2/A2))</f>
        <v>250.69755111374747</v>
      </c>
      <c r="D2">
        <f>(ABS(B2-C2)/B2)*100</f>
        <v>1.894233221052484E-3</v>
      </c>
      <c r="E2">
        <f>((C2/B2)-1)*100</f>
        <v>-1.8942332210558632E-3</v>
      </c>
      <c r="F2">
        <v>9.1463982502330001</v>
      </c>
      <c r="G2">
        <v>1</v>
      </c>
      <c r="H2">
        <v>0</v>
      </c>
      <c r="I2">
        <v>-717.86862170180996</v>
      </c>
    </row>
    <row r="3" spans="1:9" x14ac:dyDescent="0.35">
      <c r="A3">
        <v>225</v>
      </c>
      <c r="B3">
        <v>84.683099999999996</v>
      </c>
      <c r="C3">
        <f t="shared" ref="C3:C5" si="0">$F$2*A3^$G$2*($H$2+EXP($I$2/A3))</f>
        <v>84.684565756478804</v>
      </c>
      <c r="D3">
        <f t="shared" ref="D3:D5" si="1">(ABS(B3-C3)/B3)*100</f>
        <v>1.7308724867276812E-3</v>
      </c>
      <c r="E3">
        <f t="shared" ref="E3:E5" si="2">((C3/B3)-1)*100</f>
        <v>1.7308724867381997E-3</v>
      </c>
    </row>
    <row r="4" spans="1:9" x14ac:dyDescent="0.35">
      <c r="A4">
        <v>150</v>
      </c>
      <c r="B4">
        <v>11.452400000000001</v>
      </c>
      <c r="C4">
        <f t="shared" si="0"/>
        <v>11.452461106357536</v>
      </c>
      <c r="D4">
        <f t="shared" si="1"/>
        <v>5.3356813886057104E-4</v>
      </c>
      <c r="E4">
        <f t="shared" si="2"/>
        <v>5.3356813884963827E-4</v>
      </c>
    </row>
    <row r="5" spans="1:9" x14ac:dyDescent="0.35">
      <c r="A5">
        <v>75</v>
      </c>
      <c r="B5">
        <v>4.7800000000000002E-2</v>
      </c>
      <c r="C5">
        <f t="shared" si="0"/>
        <v>4.779982305759569E-2</v>
      </c>
      <c r="D5">
        <f t="shared" si="1"/>
        <v>3.7017239395789749E-4</v>
      </c>
      <c r="E5">
        <f t="shared" si="2"/>
        <v>-3.7017239395975565E-4</v>
      </c>
    </row>
  </sheetData>
  <conditionalFormatting sqref="D2:D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C22-32AC-48A0-A003-76486A8A2B3F}">
  <dimension ref="A1:J19"/>
  <sheetViews>
    <sheetView workbookViewId="0">
      <selection activeCell="E14" sqref="E14"/>
    </sheetView>
  </sheetViews>
  <sheetFormatPr defaultRowHeight="14.5" x14ac:dyDescent="0.35"/>
  <cols>
    <col min="1" max="1" width="12.81640625" bestFit="1" customWidth="1"/>
    <col min="4" max="4" width="11.81640625" bestFit="1" customWidth="1"/>
  </cols>
  <sheetData>
    <row r="1" spans="1:10" x14ac:dyDescent="0.35">
      <c r="A1" t="s">
        <v>0</v>
      </c>
      <c r="B1" t="s">
        <v>5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10" x14ac:dyDescent="0.35">
      <c r="A2">
        <v>500</v>
      </c>
      <c r="B2">
        <v>2360.4349999999999</v>
      </c>
      <c r="C2">
        <f>$F$2*A2^$G$2*($H$2+EXP($I$2/A2))</f>
        <v>2360.4217391702127</v>
      </c>
      <c r="D2">
        <f>ABS(B2-C2)/B2*100</f>
        <v>5.6179601587054418E-4</v>
      </c>
      <c r="E2">
        <f>((C2/B2)-1)*100</f>
        <v>-5.6179601587436068E-4</v>
      </c>
      <c r="F2">
        <v>3.37116785</v>
      </c>
      <c r="G2">
        <v>1.00039934</v>
      </c>
      <c r="H2">
        <v>0.39664251</v>
      </c>
      <c r="I2">
        <v>0.12245932</v>
      </c>
    </row>
    <row r="3" spans="1:10" x14ac:dyDescent="0.35">
      <c r="A3">
        <v>300</v>
      </c>
      <c r="B3">
        <v>1416.0845999999999</v>
      </c>
      <c r="C3">
        <f t="shared" ref="C3:C5" si="0">$F$2*A3^$G$2*($H$2+EXP($I$2/A3))</f>
        <v>1416.1297300972972</v>
      </c>
      <c r="D3">
        <f t="shared" ref="D3:D4" si="1">ABS(B3-C3)/B3*100</f>
        <v>3.1869633563743551E-3</v>
      </c>
      <c r="E3">
        <f t="shared" ref="E3:E19" si="2">((C3/B3)-1)*100</f>
        <v>3.1869633563719191E-3</v>
      </c>
      <c r="F3">
        <v>4.7281550000000001</v>
      </c>
      <c r="G3">
        <v>1</v>
      </c>
      <c r="H3">
        <v>0</v>
      </c>
      <c r="I3">
        <v>0</v>
      </c>
      <c r="J3" t="s">
        <v>11</v>
      </c>
    </row>
    <row r="4" spans="1:10" x14ac:dyDescent="0.35">
      <c r="A4">
        <v>225</v>
      </c>
      <c r="B4">
        <v>1062.0597</v>
      </c>
      <c r="C4">
        <f t="shared" si="0"/>
        <v>1062.0787681670113</v>
      </c>
      <c r="D4">
        <f t="shared" si="1"/>
        <v>1.7953950245221954E-3</v>
      </c>
      <c r="E4">
        <f t="shared" si="2"/>
        <v>1.7953950245175321E-3</v>
      </c>
    </row>
    <row r="5" spans="1:10" x14ac:dyDescent="0.35">
      <c r="A5">
        <v>150</v>
      </c>
      <c r="B5">
        <v>708.09289999999999</v>
      </c>
      <c r="C5">
        <f t="shared" si="0"/>
        <v>708.07585441132824</v>
      </c>
      <c r="D5" s="1">
        <f>ABS(B5-C5)/B5*100</f>
        <v>2.4072531544588431E-3</v>
      </c>
      <c r="E5">
        <f t="shared" si="2"/>
        <v>-2.4072531544572229E-3</v>
      </c>
    </row>
    <row r="6" spans="1:10" x14ac:dyDescent="0.35">
      <c r="A6">
        <v>75</v>
      </c>
      <c r="B6">
        <v>354.18430000000001</v>
      </c>
      <c r="C6">
        <f t="shared" ref="C6:C9" si="3">$F$2*A6^$G$2*($H$2+EXP($I$2/A6))</f>
        <v>354.14696760585616</v>
      </c>
      <c r="D6" s="1">
        <f t="shared" ref="D6:D9" si="4">ABS(B6-C6)/B6*100</f>
        <v>1.0540386500430906E-2</v>
      </c>
      <c r="E6">
        <f t="shared" si="2"/>
        <v>-1.0540386500434984E-2</v>
      </c>
    </row>
    <row r="7" spans="1:10" x14ac:dyDescent="0.35">
      <c r="A7">
        <v>37.5</v>
      </c>
      <c r="B7">
        <v>177.2518</v>
      </c>
      <c r="C7">
        <f t="shared" si="3"/>
        <v>177.2316977560468</v>
      </c>
      <c r="D7" s="1">
        <f t="shared" si="4"/>
        <v>1.1341066185620639E-2</v>
      </c>
      <c r="E7">
        <f t="shared" si="2"/>
        <v>-1.1341066185621695E-2</v>
      </c>
    </row>
    <row r="8" spans="1:10" x14ac:dyDescent="0.35">
      <c r="A8">
        <v>18.75</v>
      </c>
      <c r="B8">
        <v>88.791300000000007</v>
      </c>
      <c r="C8">
        <f t="shared" si="3"/>
        <v>88.798995362535763</v>
      </c>
      <c r="D8" s="1">
        <f t="shared" si="4"/>
        <v>8.6667979134848663E-3</v>
      </c>
      <c r="E8">
        <f t="shared" si="2"/>
        <v>8.6667979134924522E-3</v>
      </c>
    </row>
    <row r="9" spans="1:10" x14ac:dyDescent="0.35">
      <c r="A9">
        <v>9.375</v>
      </c>
      <c r="B9">
        <v>44.563000000000002</v>
      </c>
      <c r="C9">
        <f t="shared" si="3"/>
        <v>44.595843890432462</v>
      </c>
      <c r="D9" s="1">
        <f t="shared" si="4"/>
        <v>7.3702152979960814E-2</v>
      </c>
      <c r="E9">
        <f t="shared" si="2"/>
        <v>7.3702152979970847E-2</v>
      </c>
    </row>
    <row r="11" spans="1:10" x14ac:dyDescent="0.35">
      <c r="A11" t="s">
        <v>0</v>
      </c>
      <c r="B11" t="s">
        <v>5</v>
      </c>
      <c r="C11" t="s">
        <v>5</v>
      </c>
      <c r="D11" t="s">
        <v>6</v>
      </c>
      <c r="E11" t="s">
        <v>4</v>
      </c>
      <c r="F11" t="s">
        <v>7</v>
      </c>
      <c r="G11" t="s">
        <v>8</v>
      </c>
      <c r="H11" t="s">
        <v>9</v>
      </c>
      <c r="I11" t="s">
        <v>10</v>
      </c>
    </row>
    <row r="12" spans="1:10" x14ac:dyDescent="0.35">
      <c r="A12">
        <v>500</v>
      </c>
      <c r="B12">
        <v>2360.4349999999999</v>
      </c>
      <c r="C12">
        <f>$F$12*A12^$G$12*($H$12+EXP($I$12/A12))</f>
        <v>2360.358905</v>
      </c>
      <c r="D12">
        <f>ABS(B12-C12)/B12*100</f>
        <v>3.2237701948960962E-3</v>
      </c>
      <c r="E12">
        <f t="shared" si="2"/>
        <v>-3.2237701948933939E-3</v>
      </c>
      <c r="F12">
        <v>4.72071781</v>
      </c>
      <c r="G12">
        <v>1</v>
      </c>
      <c r="H12">
        <v>0</v>
      </c>
      <c r="I12">
        <v>0</v>
      </c>
      <c r="J12" t="s">
        <v>26</v>
      </c>
    </row>
    <row r="13" spans="1:10" x14ac:dyDescent="0.35">
      <c r="A13">
        <v>300</v>
      </c>
      <c r="B13">
        <v>1416.0845999999999</v>
      </c>
      <c r="C13">
        <f t="shared" ref="C13:C19" si="5">$F$12*A13^$G$12*($H$12+EXP($I$12/A13))</f>
        <v>1416.2153430000001</v>
      </c>
      <c r="D13">
        <f>ABS(B13-C13)/B13*100</f>
        <v>9.2327110965097648E-3</v>
      </c>
      <c r="E13">
        <f t="shared" si="2"/>
        <v>9.2327110965184644E-3</v>
      </c>
    </row>
    <row r="14" spans="1:10" x14ac:dyDescent="0.35">
      <c r="A14">
        <v>225</v>
      </c>
      <c r="B14">
        <v>1062.0597</v>
      </c>
      <c r="C14">
        <f t="shared" si="5"/>
        <v>1062.1615072500001</v>
      </c>
      <c r="D14">
        <f t="shared" ref="D14" si="6">ABS(B14-C14)/B14*100</f>
        <v>9.5858311919840861E-3</v>
      </c>
      <c r="E14">
        <f t="shared" si="2"/>
        <v>9.5858311919938544E-3</v>
      </c>
    </row>
    <row r="15" spans="1:10" x14ac:dyDescent="0.35">
      <c r="A15">
        <v>150</v>
      </c>
      <c r="B15">
        <v>708.09289999999999</v>
      </c>
      <c r="C15">
        <f t="shared" si="5"/>
        <v>708.10767150000004</v>
      </c>
      <c r="D15" s="1">
        <f>ABS(B15-C15)/B15*100</f>
        <v>2.0860963300227517E-3</v>
      </c>
      <c r="E15">
        <f t="shared" si="2"/>
        <v>2.0860963300117774E-3</v>
      </c>
    </row>
    <row r="16" spans="1:10" x14ac:dyDescent="0.35">
      <c r="A16">
        <v>75</v>
      </c>
      <c r="B16">
        <v>354.18430000000001</v>
      </c>
      <c r="C16">
        <f t="shared" si="5"/>
        <v>354.05383575000002</v>
      </c>
      <c r="D16" s="1">
        <f t="shared" ref="D16:D19" si="7">ABS(B16-C16)/B16*100</f>
        <v>3.6835130749722285E-2</v>
      </c>
      <c r="E16">
        <f t="shared" si="2"/>
        <v>-3.6835130749723888E-2</v>
      </c>
    </row>
    <row r="17" spans="1:5" x14ac:dyDescent="0.35">
      <c r="A17">
        <v>37.5</v>
      </c>
      <c r="B17">
        <v>177.2518</v>
      </c>
      <c r="C17">
        <f t="shared" si="5"/>
        <v>177.02691787500001</v>
      </c>
      <c r="D17" s="1">
        <f t="shared" si="7"/>
        <v>0.12687156068372424</v>
      </c>
      <c r="E17">
        <f t="shared" si="2"/>
        <v>-0.12687156068372785</v>
      </c>
    </row>
    <row r="18" spans="1:5" x14ac:dyDescent="0.35">
      <c r="A18">
        <v>18.75</v>
      </c>
      <c r="B18">
        <v>88.791300000000007</v>
      </c>
      <c r="C18">
        <f t="shared" si="5"/>
        <v>88.513458937500005</v>
      </c>
      <c r="D18" s="1">
        <f t="shared" si="7"/>
        <v>0.31291473657892388</v>
      </c>
      <c r="E18">
        <f t="shared" si="2"/>
        <v>-0.31291473657892865</v>
      </c>
    </row>
    <row r="19" spans="1:5" x14ac:dyDescent="0.35">
      <c r="A19">
        <v>9.375</v>
      </c>
      <c r="B19">
        <v>44.563000000000002</v>
      </c>
      <c r="C19">
        <f t="shared" si="5"/>
        <v>44.256729468750002</v>
      </c>
      <c r="D19" s="1">
        <f t="shared" si="7"/>
        <v>0.68727538821443801</v>
      </c>
      <c r="E19">
        <f t="shared" si="2"/>
        <v>-0.68727538821443668</v>
      </c>
    </row>
  </sheetData>
  <conditionalFormatting sqref="D2:D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2:D1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0 E12:E1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2C0B-4132-4165-801C-51AF0CB3743F}">
  <dimension ref="A1:J11"/>
  <sheetViews>
    <sheetView workbookViewId="0">
      <selection activeCell="F2" sqref="F2"/>
    </sheetView>
  </sheetViews>
  <sheetFormatPr defaultRowHeight="14.5" x14ac:dyDescent="0.35"/>
  <sheetData>
    <row r="1" spans="1:10" x14ac:dyDescent="0.35">
      <c r="A1" t="s">
        <v>0</v>
      </c>
      <c r="B1" t="s">
        <v>5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10" x14ac:dyDescent="0.35">
      <c r="A2" s="8">
        <v>500</v>
      </c>
      <c r="B2">
        <v>2291.7968999999998</v>
      </c>
      <c r="C2">
        <f>$F$2*A2^$G$2*($H$2+EXP($I$2/A2))</f>
        <v>2303.65</v>
      </c>
      <c r="D2">
        <f>ABS(B2-C2)/B2*100</f>
        <v>0.51719678999479712</v>
      </c>
      <c r="E2">
        <f>((C2/B2)-1)*100</f>
        <v>0.51719678999480045</v>
      </c>
      <c r="F2">
        <v>4.6073000000000004</v>
      </c>
      <c r="G2">
        <v>1</v>
      </c>
      <c r="H2">
        <v>0</v>
      </c>
      <c r="I2">
        <v>0</v>
      </c>
      <c r="J2" t="s">
        <v>25</v>
      </c>
    </row>
    <row r="3" spans="1:10" x14ac:dyDescent="0.35">
      <c r="A3" s="8">
        <v>300</v>
      </c>
      <c r="B3">
        <v>1374.9097999999999</v>
      </c>
      <c r="C3">
        <f t="shared" ref="C3:C11" si="0">$F$2*A3^$G$2*($H$2+EXP($I$2/A3))</f>
        <v>1382.19</v>
      </c>
      <c r="D3">
        <f t="shared" ref="D3:D4" si="1">ABS(B3-C3)/B3*100</f>
        <v>0.52950382636011106</v>
      </c>
      <c r="E3">
        <f t="shared" ref="E3:E11" si="2">((C3/B3)-1)*100</f>
        <v>0.5295038263601004</v>
      </c>
    </row>
    <row r="4" spans="1:10" x14ac:dyDescent="0.35">
      <c r="A4" s="8">
        <v>225</v>
      </c>
      <c r="B4">
        <v>1031.1809000000001</v>
      </c>
      <c r="C4">
        <f t="shared" si="0"/>
        <v>1036.6425000000002</v>
      </c>
      <c r="D4">
        <f t="shared" si="1"/>
        <v>0.52964518640716574</v>
      </c>
      <c r="E4">
        <f t="shared" si="2"/>
        <v>0.52964518640716829</v>
      </c>
    </row>
    <row r="5" spans="1:10" x14ac:dyDescent="0.35">
      <c r="A5" s="8">
        <v>150</v>
      </c>
      <c r="B5">
        <v>687.5086</v>
      </c>
      <c r="C5">
        <f t="shared" si="0"/>
        <v>691.09500000000003</v>
      </c>
      <c r="D5" s="1">
        <f>ABS(B5-C5)/B5*100</f>
        <v>0.52165165643019251</v>
      </c>
      <c r="E5">
        <f t="shared" si="2"/>
        <v>0.52165165643018874</v>
      </c>
    </row>
    <row r="6" spans="1:10" x14ac:dyDescent="0.35">
      <c r="A6" s="9">
        <v>75</v>
      </c>
      <c r="B6">
        <v>343.8929</v>
      </c>
      <c r="C6">
        <f t="shared" si="0"/>
        <v>345.54750000000001</v>
      </c>
      <c r="D6" s="1">
        <f t="shared" ref="D6:D9" si="3">ABS(B6-C6)/B6*100</f>
        <v>0.48113816830763778</v>
      </c>
      <c r="E6">
        <f t="shared" si="2"/>
        <v>0.48113816830763767</v>
      </c>
    </row>
    <row r="7" spans="1:10" x14ac:dyDescent="0.35">
      <c r="A7" s="9">
        <v>37.5</v>
      </c>
      <c r="B7">
        <v>172.1063</v>
      </c>
      <c r="C7">
        <f t="shared" si="0"/>
        <v>172.77375000000001</v>
      </c>
      <c r="D7" s="1">
        <f t="shared" si="3"/>
        <v>0.38781264834582019</v>
      </c>
      <c r="E7">
        <f t="shared" si="2"/>
        <v>0.38781264834581997</v>
      </c>
    </row>
    <row r="8" spans="1:10" x14ac:dyDescent="0.35">
      <c r="A8" s="9">
        <v>18.75</v>
      </c>
      <c r="B8">
        <v>86.218599999999995</v>
      </c>
      <c r="C8">
        <f t="shared" si="0"/>
        <v>86.386875000000003</v>
      </c>
      <c r="D8" s="1">
        <f t="shared" si="3"/>
        <v>0.19517250338095074</v>
      </c>
      <c r="E8">
        <f t="shared" si="2"/>
        <v>0.19517250338094705</v>
      </c>
    </row>
    <row r="9" spans="1:10" x14ac:dyDescent="0.35">
      <c r="A9" s="10">
        <v>9.2750000000000004</v>
      </c>
      <c r="B9">
        <v>43.276699999999998</v>
      </c>
      <c r="C9">
        <f t="shared" si="0"/>
        <v>42.732707500000004</v>
      </c>
      <c r="D9" s="1">
        <f t="shared" si="3"/>
        <v>1.2570101232302706</v>
      </c>
      <c r="E9">
        <f t="shared" si="2"/>
        <v>-1.2570101232302733</v>
      </c>
    </row>
    <row r="10" spans="1:10" x14ac:dyDescent="0.35">
      <c r="A10" s="10">
        <v>5</v>
      </c>
      <c r="B10">
        <v>23.238499999999998</v>
      </c>
      <c r="C10">
        <f t="shared" si="0"/>
        <v>23.036500000000004</v>
      </c>
      <c r="D10" s="1">
        <f t="shared" ref="D10:D11" si="4">ABS(B10-C10)/B10*100</f>
        <v>0.86924715450650714</v>
      </c>
      <c r="E10">
        <f t="shared" si="2"/>
        <v>-0.86924715450650281</v>
      </c>
    </row>
    <row r="11" spans="1:10" x14ac:dyDescent="0.35">
      <c r="A11" s="10">
        <v>2.7250000000000001</v>
      </c>
      <c r="B11">
        <v>12.820399999999999</v>
      </c>
      <c r="C11">
        <f t="shared" si="0"/>
        <v>12.554892500000001</v>
      </c>
      <c r="D11" s="1">
        <f t="shared" si="4"/>
        <v>2.0709767245951629</v>
      </c>
      <c r="E11">
        <f t="shared" si="2"/>
        <v>-2.0709767245951638</v>
      </c>
    </row>
  </sheetData>
  <conditionalFormatting sqref="D2:D1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7AE8-9232-4926-BD77-6BD8BF2CD666}">
  <dimension ref="A1:I9"/>
  <sheetViews>
    <sheetView workbookViewId="0">
      <selection activeCell="D9" sqref="D9"/>
    </sheetView>
  </sheetViews>
  <sheetFormatPr defaultRowHeight="14.5" x14ac:dyDescent="0.35"/>
  <cols>
    <col min="4" max="4" width="12.1796875" customWidth="1"/>
  </cols>
  <sheetData>
    <row r="1" spans="1:9" x14ac:dyDescent="0.35">
      <c r="A1" t="s">
        <v>0</v>
      </c>
      <c r="B1" t="s">
        <v>5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>
        <v>500</v>
      </c>
      <c r="B2">
        <v>2364.886</v>
      </c>
      <c r="C2">
        <f>$F$2*A2^$G$2*($H$2+EXP($I$2/A2))</f>
        <v>2364.809045</v>
      </c>
      <c r="D2">
        <f>ABS(B2-C2)/B2*100</f>
        <v>3.2540680607859368E-3</v>
      </c>
      <c r="E2">
        <f>((C2/B2)-1)*100</f>
        <v>-3.2540680607873185E-3</v>
      </c>
      <c r="F2" s="11">
        <v>4.7296180899999998</v>
      </c>
      <c r="G2">
        <v>1</v>
      </c>
      <c r="H2">
        <v>0</v>
      </c>
      <c r="I2">
        <v>0</v>
      </c>
    </row>
    <row r="3" spans="1:9" x14ac:dyDescent="0.35">
      <c r="A3">
        <v>300</v>
      </c>
      <c r="B3">
        <v>1418.7542000000001</v>
      </c>
      <c r="C3">
        <f t="shared" ref="C3:C5" si="0">$F$2*A3^$G$2*($H$2+EXP($I$2/A3))</f>
        <v>1418.8854269999999</v>
      </c>
      <c r="D3">
        <f t="shared" ref="D3:D5" si="1">ABS(B3-C3)/B3*100</f>
        <v>9.2494527945611305E-3</v>
      </c>
      <c r="E3">
        <f t="shared" ref="E3:E9" si="2">((C3/B3)-1)*100</f>
        <v>9.2494527945685689E-3</v>
      </c>
    </row>
    <row r="4" spans="1:9" x14ac:dyDescent="0.35">
      <c r="A4">
        <v>225</v>
      </c>
      <c r="B4">
        <v>1064.0616</v>
      </c>
      <c r="C4">
        <f t="shared" si="0"/>
        <v>1064.1640702499999</v>
      </c>
      <c r="D4">
        <f t="shared" si="1"/>
        <v>9.6301050615769448E-3</v>
      </c>
      <c r="E4">
        <f t="shared" si="2"/>
        <v>9.6301050615865691E-3</v>
      </c>
    </row>
    <row r="5" spans="1:9" x14ac:dyDescent="0.35">
      <c r="A5">
        <v>150</v>
      </c>
      <c r="B5">
        <v>709.42729999999995</v>
      </c>
      <c r="C5">
        <f t="shared" si="0"/>
        <v>709.44271349999997</v>
      </c>
      <c r="D5" s="1">
        <f t="shared" si="1"/>
        <v>2.172668009818962E-3</v>
      </c>
      <c r="E5">
        <f t="shared" si="2"/>
        <v>2.1726680098144158E-3</v>
      </c>
    </row>
    <row r="6" spans="1:9" x14ac:dyDescent="0.35">
      <c r="A6">
        <v>75</v>
      </c>
      <c r="B6">
        <v>354.85140000000001</v>
      </c>
      <c r="C6">
        <f t="shared" ref="C6:C9" si="3">$F$2*A6^$G$2*($H$2+EXP($I$2/A6))</f>
        <v>354.72135674999998</v>
      </c>
      <c r="D6" s="1">
        <f t="shared" ref="D6:D9" si="4">ABS(B6-C6)/B6*100</f>
        <v>3.6647241634111732E-2</v>
      </c>
      <c r="E6">
        <f t="shared" si="2"/>
        <v>-3.6647241634113481E-2</v>
      </c>
    </row>
    <row r="7" spans="1:9" x14ac:dyDescent="0.35">
      <c r="A7">
        <v>37.5</v>
      </c>
      <c r="B7">
        <v>177.58539999999999</v>
      </c>
      <c r="C7">
        <f t="shared" si="3"/>
        <v>177.36067837499999</v>
      </c>
      <c r="D7" s="1">
        <f t="shared" si="4"/>
        <v>0.1265428492432378</v>
      </c>
      <c r="E7">
        <f t="shared" si="2"/>
        <v>-0.12654284924323855</v>
      </c>
    </row>
    <row r="8" spans="1:9" x14ac:dyDescent="0.35">
      <c r="A8">
        <v>18.75</v>
      </c>
      <c r="B8">
        <v>88.958100000000002</v>
      </c>
      <c r="C8">
        <f t="shared" si="3"/>
        <v>88.680339187499996</v>
      </c>
      <c r="D8" s="1">
        <f t="shared" si="4"/>
        <v>0.31223779790711104</v>
      </c>
      <c r="E8">
        <f t="shared" si="2"/>
        <v>-0.31223779790711115</v>
      </c>
    </row>
    <row r="9" spans="1:9" x14ac:dyDescent="0.35">
      <c r="A9">
        <v>9.375</v>
      </c>
      <c r="B9">
        <v>44.6464</v>
      </c>
      <c r="C9">
        <f t="shared" si="3"/>
        <v>44.340169593749998</v>
      </c>
      <c r="D9" s="1">
        <f t="shared" si="4"/>
        <v>0.68590167684292991</v>
      </c>
      <c r="E9">
        <f t="shared" si="2"/>
        <v>-0.68590167684292602</v>
      </c>
    </row>
  </sheetData>
  <conditionalFormatting sqref="D2:D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48C0-E88C-4600-9BAC-59C83CBD119B}">
  <dimension ref="A1:I9"/>
  <sheetViews>
    <sheetView workbookViewId="0">
      <selection activeCell="E18" sqref="E18"/>
    </sheetView>
  </sheetViews>
  <sheetFormatPr defaultRowHeight="14.5" x14ac:dyDescent="0.35"/>
  <cols>
    <col min="4" max="4" width="12.1796875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>
        <v>500</v>
      </c>
      <c r="B2">
        <v>2301.5635000000002</v>
      </c>
      <c r="C2">
        <f>$F$2*A2^$G$2*($H$2+EXP($I$2/A2))</f>
        <v>2301.4923050000002</v>
      </c>
      <c r="D2">
        <f>ABS(B2-C2)/B2*100</f>
        <v>3.093331989318947E-3</v>
      </c>
      <c r="E2">
        <f>((C2/B2)-1)*100</f>
        <v>-3.0933319893233779E-3</v>
      </c>
      <c r="F2" s="11">
        <v>4.60298461</v>
      </c>
      <c r="G2">
        <v>1</v>
      </c>
      <c r="H2">
        <v>0</v>
      </c>
      <c r="I2">
        <v>0</v>
      </c>
    </row>
    <row r="3" spans="1:9" x14ac:dyDescent="0.35">
      <c r="A3">
        <v>300</v>
      </c>
      <c r="B3">
        <v>1380.7674</v>
      </c>
      <c r="C3">
        <f t="shared" ref="C3:C9" si="0">$F$2*A3^$G$2*($H$2+EXP($I$2/A3))</f>
        <v>1380.895383</v>
      </c>
      <c r="D3">
        <f t="shared" ref="D3:D9" si="1">ABS(B3-C3)/B3*100</f>
        <v>9.2689760780914777E-3</v>
      </c>
      <c r="E3">
        <f t="shared" ref="E3:E9" si="2">((C3/B3)-1)*100</f>
        <v>9.2689760780917396E-3</v>
      </c>
    </row>
    <row r="4" spans="1:9" x14ac:dyDescent="0.35">
      <c r="A4">
        <v>225</v>
      </c>
      <c r="B4">
        <v>1035.5735</v>
      </c>
      <c r="C4">
        <f t="shared" si="0"/>
        <v>1035.67153725</v>
      </c>
      <c r="D4">
        <f t="shared" si="1"/>
        <v>9.4669523698763299E-3</v>
      </c>
      <c r="E4">
        <f t="shared" si="2"/>
        <v>9.4669523698742708E-3</v>
      </c>
    </row>
    <row r="5" spans="1:9" x14ac:dyDescent="0.35">
      <c r="A5">
        <v>150</v>
      </c>
      <c r="B5">
        <v>690.43650000000002</v>
      </c>
      <c r="C5">
        <f>$F$2*A5^$G$2*($H$2+EXP($I$2/A5))</f>
        <v>690.44769150000002</v>
      </c>
      <c r="D5" s="1">
        <f t="shared" si="1"/>
        <v>1.6209311066253532E-3</v>
      </c>
      <c r="E5">
        <f t="shared" si="2"/>
        <v>1.6209311066273102E-3</v>
      </c>
    </row>
    <row r="6" spans="1:9" x14ac:dyDescent="0.35">
      <c r="A6">
        <v>75</v>
      </c>
      <c r="B6">
        <v>345.35660000000001</v>
      </c>
      <c r="C6">
        <f t="shared" si="0"/>
        <v>345.22384575000001</v>
      </c>
      <c r="D6" s="1">
        <f t="shared" si="1"/>
        <v>3.8439760525788402E-2</v>
      </c>
      <c r="E6">
        <f t="shared" si="2"/>
        <v>-3.8439760525788014E-2</v>
      </c>
    </row>
    <row r="7" spans="1:9" x14ac:dyDescent="0.35">
      <c r="A7">
        <v>37.5</v>
      </c>
      <c r="B7">
        <v>172.8381</v>
      </c>
      <c r="C7">
        <f t="shared" si="0"/>
        <v>172.611922875</v>
      </c>
      <c r="D7" s="1">
        <f t="shared" si="1"/>
        <v>0.13086068696658457</v>
      </c>
      <c r="E7">
        <f t="shared" si="2"/>
        <v>-0.13086068696658293</v>
      </c>
    </row>
    <row r="8" spans="1:9" x14ac:dyDescent="0.35">
      <c r="A8">
        <v>18.75</v>
      </c>
      <c r="B8">
        <v>86.584500000000006</v>
      </c>
      <c r="C8">
        <f t="shared" si="0"/>
        <v>86.305961437500002</v>
      </c>
      <c r="D8" s="1">
        <f t="shared" si="1"/>
        <v>0.32169564125219086</v>
      </c>
      <c r="E8">
        <f t="shared" si="2"/>
        <v>-0.32169564125219541</v>
      </c>
    </row>
    <row r="9" spans="1:9" x14ac:dyDescent="0.35">
      <c r="A9">
        <v>9.375</v>
      </c>
      <c r="B9">
        <v>43.459699999999998</v>
      </c>
      <c r="C9">
        <f t="shared" si="0"/>
        <v>43.152980718750001</v>
      </c>
      <c r="D9" s="1">
        <f t="shared" si="1"/>
        <v>0.70575563395512819</v>
      </c>
      <c r="E9">
        <f t="shared" si="2"/>
        <v>-0.70575563395512964</v>
      </c>
    </row>
  </sheetData>
  <conditionalFormatting sqref="D2:D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AA94-40C0-43E0-9F0B-064239683B30}">
  <dimension ref="A1:I9"/>
  <sheetViews>
    <sheetView workbookViewId="0">
      <selection activeCell="F2" sqref="F2"/>
    </sheetView>
  </sheetViews>
  <sheetFormatPr defaultRowHeight="14.5" x14ac:dyDescent="0.35"/>
  <cols>
    <col min="4" max="4" width="12.1796875" customWidth="1"/>
  </cols>
  <sheetData>
    <row r="1" spans="1:9" x14ac:dyDescent="0.35">
      <c r="A1" t="s">
        <v>0</v>
      </c>
      <c r="B1" t="s">
        <v>5</v>
      </c>
      <c r="C1" t="s">
        <v>5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>
        <v>500</v>
      </c>
      <c r="B2">
        <v>2301.3416000000002</v>
      </c>
      <c r="C2">
        <f>$F$2*A2^$G$2*($H$2+EXP($I$2/A2))</f>
        <v>2301.27</v>
      </c>
      <c r="D2" s="2">
        <f>ABS(B2-C2)/B2*100</f>
        <v>3.1112286850512247E-3</v>
      </c>
      <c r="E2">
        <f>((C2/B2)-1)*100</f>
        <v>-3.1112286850487614E-3</v>
      </c>
      <c r="F2">
        <v>4.6025400000000003</v>
      </c>
      <c r="G2">
        <v>1</v>
      </c>
      <c r="H2">
        <v>0</v>
      </c>
      <c r="I2">
        <v>0</v>
      </c>
    </row>
    <row r="3" spans="1:9" x14ac:dyDescent="0.35">
      <c r="A3">
        <v>300</v>
      </c>
      <c r="B3">
        <v>1380.6342999999999</v>
      </c>
      <c r="C3">
        <f t="shared" ref="C3:C9" si="0">$F$2*A3^$G$2*($H$2+EXP($I$2/A3))</f>
        <v>1380.7620000000002</v>
      </c>
      <c r="D3" s="2">
        <f t="shared" ref="D3:D8" si="1">ABS(B3-C3)/B3*100</f>
        <v>9.2493718286031108E-3</v>
      </c>
      <c r="E3">
        <f t="shared" ref="E3:E9" si="2">((C3/B3)-1)*100</f>
        <v>9.2493718286013049E-3</v>
      </c>
    </row>
    <row r="4" spans="1:9" x14ac:dyDescent="0.35">
      <c r="A4">
        <v>225</v>
      </c>
      <c r="B4">
        <v>1035.4736</v>
      </c>
      <c r="C4">
        <f t="shared" si="0"/>
        <v>1035.5715</v>
      </c>
      <c r="D4" s="2">
        <f t="shared" si="1"/>
        <v>9.4546109142697055E-3</v>
      </c>
      <c r="E4">
        <f t="shared" si="2"/>
        <v>9.4546109142612522E-3</v>
      </c>
    </row>
    <row r="5" spans="1:9" x14ac:dyDescent="0.35">
      <c r="A5">
        <v>150</v>
      </c>
      <c r="B5">
        <v>690.36990000000003</v>
      </c>
      <c r="C5">
        <f t="shared" si="0"/>
        <v>690.38100000000009</v>
      </c>
      <c r="D5" s="2">
        <f t="shared" si="1"/>
        <v>1.6078337134999429E-3</v>
      </c>
      <c r="E5">
        <f t="shared" si="2"/>
        <v>1.6078337135017051E-3</v>
      </c>
    </row>
    <row r="6" spans="1:9" x14ac:dyDescent="0.35">
      <c r="A6">
        <v>75</v>
      </c>
      <c r="B6">
        <v>345.32330000000002</v>
      </c>
      <c r="C6">
        <f t="shared" si="0"/>
        <v>345.19050000000004</v>
      </c>
      <c r="D6" s="2">
        <f t="shared" si="1"/>
        <v>3.8456715779090121E-2</v>
      </c>
      <c r="E6">
        <f t="shared" si="2"/>
        <v>-3.8456715779089379E-2</v>
      </c>
    </row>
    <row r="7" spans="1:9" x14ac:dyDescent="0.35">
      <c r="A7">
        <v>37.5</v>
      </c>
      <c r="B7">
        <v>172.82149999999999</v>
      </c>
      <c r="C7">
        <f t="shared" si="0"/>
        <v>172.59525000000002</v>
      </c>
      <c r="D7" s="2">
        <f t="shared" si="1"/>
        <v>0.13091542429614647</v>
      </c>
      <c r="E7">
        <f t="shared" si="2"/>
        <v>-0.13091542429615188</v>
      </c>
    </row>
    <row r="8" spans="1:9" x14ac:dyDescent="0.35">
      <c r="A8">
        <v>18.75</v>
      </c>
      <c r="B8">
        <v>86.5762</v>
      </c>
      <c r="C8">
        <f t="shared" si="0"/>
        <v>86.297625000000011</v>
      </c>
      <c r="D8" s="2">
        <f t="shared" si="1"/>
        <v>0.32176856919105873</v>
      </c>
      <c r="E8">
        <f t="shared" si="2"/>
        <v>-0.321768569191061</v>
      </c>
    </row>
    <row r="9" spans="1:9" x14ac:dyDescent="0.35">
      <c r="A9">
        <v>9.375</v>
      </c>
      <c r="B9">
        <v>43.455500000000001</v>
      </c>
      <c r="C9">
        <f t="shared" si="0"/>
        <v>43.148812500000005</v>
      </c>
      <c r="D9" s="2">
        <f>ABS(B9-C9)/B9*100</f>
        <v>0.70575071049693439</v>
      </c>
      <c r="E9">
        <f t="shared" si="2"/>
        <v>-0.70575071049693294</v>
      </c>
    </row>
  </sheetData>
  <conditionalFormatting sqref="D2:D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E687-6F79-46EF-B164-EDC3BF691E28}">
  <dimension ref="A1:I9"/>
  <sheetViews>
    <sheetView workbookViewId="0">
      <selection activeCell="C1" sqref="C1:I9"/>
    </sheetView>
  </sheetViews>
  <sheetFormatPr defaultRowHeight="14.5" x14ac:dyDescent="0.35"/>
  <cols>
    <col min="4" max="4" width="11.81640625" bestFit="1" customWidth="1"/>
    <col min="5" max="5" width="9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500</v>
      </c>
      <c r="B2">
        <v>1720.2447999999999</v>
      </c>
      <c r="C2">
        <f>$F$2*A2^$G$2*($H$2+EXP($I$2/A2))</f>
        <v>1720.1002196646646</v>
      </c>
      <c r="D2">
        <f>ABS(B2-C2)/B2*100</f>
        <v>8.4046372548474933E-3</v>
      </c>
      <c r="E2" s="12">
        <f>((C2/B2)-1)*100</f>
        <v>-8.4046372548440829E-3</v>
      </c>
      <c r="F2" s="11">
        <v>1.7199</v>
      </c>
      <c r="G2">
        <v>1</v>
      </c>
      <c r="H2">
        <v>1</v>
      </c>
      <c r="I2">
        <v>0.1164</v>
      </c>
    </row>
    <row r="3" spans="1:9" x14ac:dyDescent="0.35">
      <c r="A3" s="8">
        <v>300</v>
      </c>
      <c r="B3">
        <v>1031.9755</v>
      </c>
      <c r="C3">
        <f t="shared" ref="C3:C9" si="0">$F$2*A3^$G$2*($H$2+EXP($I$2/A3))</f>
        <v>1032.1402352031175</v>
      </c>
      <c r="D3">
        <f t="shared" ref="D3:D9" si="1">ABS(B3-C3)/B3*100</f>
        <v>1.5963092449143994E-2</v>
      </c>
      <c r="E3" s="12">
        <f t="shared" ref="E3:E9" si="2">((C3/B3)-1)*100</f>
        <v>1.5963092449133853E-2</v>
      </c>
    </row>
    <row r="4" spans="1:9" x14ac:dyDescent="0.35">
      <c r="A4" s="8">
        <v>225</v>
      </c>
      <c r="B4">
        <v>773.97940000000006</v>
      </c>
      <c r="C4">
        <f t="shared" si="0"/>
        <v>774.15524815305628</v>
      </c>
      <c r="D4">
        <f t="shared" si="1"/>
        <v>2.2720004312288173E-2</v>
      </c>
      <c r="E4" s="12">
        <f t="shared" si="2"/>
        <v>2.2720004312293263E-2</v>
      </c>
    </row>
    <row r="5" spans="1:9" x14ac:dyDescent="0.35">
      <c r="A5" s="8">
        <v>150</v>
      </c>
      <c r="B5">
        <v>516.04049999999995</v>
      </c>
      <c r="C5">
        <f>$F$2*A5^$G$2*($H$2+EXP($I$2/A5))</f>
        <v>516.17027405628392</v>
      </c>
      <c r="D5" s="1">
        <f t="shared" si="1"/>
        <v>2.5148037079253189E-2</v>
      </c>
      <c r="E5" s="12">
        <f t="shared" si="2"/>
        <v>2.5148037079247842E-2</v>
      </c>
    </row>
    <row r="6" spans="1:9" x14ac:dyDescent="0.35">
      <c r="A6" s="9">
        <v>75</v>
      </c>
      <c r="B6">
        <v>258.15859999999998</v>
      </c>
      <c r="C6">
        <f t="shared" si="0"/>
        <v>258.18535179277552</v>
      </c>
      <c r="D6" s="1">
        <f t="shared" si="1"/>
        <v>1.0362541776854256E-2</v>
      </c>
      <c r="E6" s="12">
        <f t="shared" si="2"/>
        <v>1.0362541776864909E-2</v>
      </c>
    </row>
    <row r="7" spans="1:9" x14ac:dyDescent="0.35">
      <c r="A7" s="9">
        <v>37.5</v>
      </c>
      <c r="B7">
        <v>129.23920000000001</v>
      </c>
      <c r="C7">
        <f t="shared" si="0"/>
        <v>129.19300738647621</v>
      </c>
      <c r="D7" s="1">
        <f t="shared" si="1"/>
        <v>3.5741952537465579E-2</v>
      </c>
      <c r="E7" s="12">
        <f t="shared" si="2"/>
        <v>-3.5741952537460264E-2</v>
      </c>
    </row>
    <row r="8" spans="1:9" x14ac:dyDescent="0.35">
      <c r="A8">
        <v>18.75</v>
      </c>
      <c r="B8">
        <v>64.785300000000007</v>
      </c>
      <c r="C8">
        <f t="shared" si="0"/>
        <v>64.697069057403041</v>
      </c>
      <c r="D8" s="1">
        <f t="shared" si="1"/>
        <v>0.13618975693091667</v>
      </c>
      <c r="E8" s="12">
        <f t="shared" si="2"/>
        <v>-0.13618975693091562</v>
      </c>
    </row>
    <row r="9" spans="1:9" x14ac:dyDescent="0.35">
      <c r="A9">
        <v>9.375</v>
      </c>
      <c r="B9">
        <v>32.560400000000001</v>
      </c>
      <c r="C9">
        <f t="shared" si="0"/>
        <v>32.44956933862197</v>
      </c>
      <c r="D9" s="1">
        <f t="shared" si="1"/>
        <v>0.34038482751450055</v>
      </c>
      <c r="E9" s="12">
        <f t="shared" si="2"/>
        <v>-0.34038482751450605</v>
      </c>
    </row>
  </sheetData>
  <conditionalFormatting sqref="D2:D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A418-4BB9-403C-B530-B71D7EF3506C}">
  <dimension ref="A1:I9"/>
  <sheetViews>
    <sheetView workbookViewId="0">
      <selection activeCell="C1" sqref="C1:I8"/>
    </sheetView>
  </sheetViews>
  <sheetFormatPr defaultRowHeight="14.5" x14ac:dyDescent="0.35"/>
  <cols>
    <col min="1" max="1" width="16.26953125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28444.305400000001</v>
      </c>
      <c r="C2">
        <f>$F$2*A2^$G$2*($H$2+EXP($I$2/A2))</f>
        <v>28433.865672292955</v>
      </c>
      <c r="D2">
        <f>ABS(B2-C2)/B2*100</f>
        <v>3.6702347131477769E-2</v>
      </c>
      <c r="E2" s="12">
        <f>((C2/B2)-1)*100</f>
        <v>-3.6702347131478685E-2</v>
      </c>
      <c r="F2" s="11">
        <v>5.4721000000000002</v>
      </c>
      <c r="G2">
        <v>1.5</v>
      </c>
      <c r="H2">
        <v>0</v>
      </c>
      <c r="I2">
        <v>0</v>
      </c>
    </row>
    <row r="3" spans="1:9" x14ac:dyDescent="0.35">
      <c r="A3" s="8">
        <v>225</v>
      </c>
      <c r="B3">
        <v>18460.0733</v>
      </c>
      <c r="C3">
        <f t="shared" ref="C3:C8" si="0">$F$2*A3^$G$2*($H$2+EXP($I$2/A3))</f>
        <v>18468.337499999994</v>
      </c>
      <c r="D3">
        <f t="shared" ref="D3:D8" si="1">ABS(B3-C3)/B3*100</f>
        <v>4.476796958327442E-2</v>
      </c>
      <c r="E3" s="12">
        <f t="shared" ref="E3:E8" si="2">((C3/B3)-1)*100</f>
        <v>4.4767969583281442E-2</v>
      </c>
    </row>
    <row r="4" spans="1:9" x14ac:dyDescent="0.35">
      <c r="A4" s="8">
        <v>150</v>
      </c>
      <c r="B4">
        <v>10040.9557</v>
      </c>
      <c r="C4">
        <f t="shared" si="0"/>
        <v>10052.889616112869</v>
      </c>
      <c r="D4">
        <f t="shared" si="1"/>
        <v>0.11885239283416264</v>
      </c>
      <c r="E4" s="12">
        <f t="shared" si="2"/>
        <v>0.11885239283415672</v>
      </c>
    </row>
    <row r="5" spans="1:9" x14ac:dyDescent="0.35">
      <c r="A5" s="9">
        <v>75</v>
      </c>
      <c r="B5">
        <v>3548.5032999999999</v>
      </c>
      <c r="C5">
        <f>$F$2*A5^$G$2*($H$2+EXP($I$2/A5))</f>
        <v>3554.2332090366185</v>
      </c>
      <c r="D5" s="1">
        <f t="shared" si="1"/>
        <v>0.16147396668952416</v>
      </c>
      <c r="E5" s="12">
        <f t="shared" si="2"/>
        <v>0.16147396668952929</v>
      </c>
    </row>
    <row r="6" spans="1:9" x14ac:dyDescent="0.35">
      <c r="A6" s="9">
        <v>37.5</v>
      </c>
      <c r="B6">
        <v>1255.2213999999999</v>
      </c>
      <c r="C6">
        <f t="shared" si="0"/>
        <v>1256.6112020141093</v>
      </c>
      <c r="D6" s="1">
        <f t="shared" si="1"/>
        <v>0.11072166345390255</v>
      </c>
      <c r="E6" s="12">
        <f t="shared" si="2"/>
        <v>0.11072166345389434</v>
      </c>
    </row>
    <row r="7" spans="1:9" x14ac:dyDescent="0.35">
      <c r="A7">
        <v>18.75</v>
      </c>
      <c r="B7">
        <v>444.54230000000001</v>
      </c>
      <c r="C7">
        <f t="shared" si="0"/>
        <v>444.2791511295776</v>
      </c>
      <c r="D7" s="1">
        <f t="shared" si="1"/>
        <v>5.9195462484090383E-2</v>
      </c>
      <c r="E7" s="12">
        <f t="shared" si="2"/>
        <v>-5.9195462484085137E-2</v>
      </c>
    </row>
    <row r="8" spans="1:9" x14ac:dyDescent="0.35">
      <c r="A8">
        <v>9.375</v>
      </c>
      <c r="B8">
        <v>157.75970000000001</v>
      </c>
      <c r="C8">
        <f t="shared" si="0"/>
        <v>157.07640025176363</v>
      </c>
      <c r="D8" s="1">
        <f t="shared" si="1"/>
        <v>0.43312693180601847</v>
      </c>
      <c r="E8" s="12">
        <f t="shared" si="2"/>
        <v>-0.43312693180601602</v>
      </c>
    </row>
    <row r="9" spans="1:9" x14ac:dyDescent="0.35">
      <c r="D9" s="1"/>
      <c r="E9" s="12"/>
    </row>
  </sheetData>
  <conditionalFormatting sqref="D2:D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8CBD-91E1-4D03-AE59-CDD2CA0BB806}">
  <dimension ref="A1:I8"/>
  <sheetViews>
    <sheetView workbookViewId="0">
      <selection activeCell="C1" sqref="C1:I8"/>
    </sheetView>
  </sheetViews>
  <sheetFormatPr defaultRowHeight="14.5" x14ac:dyDescent="0.35"/>
  <cols>
    <col min="1" max="1" width="14.4531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2526.3582000000001</v>
      </c>
      <c r="C2">
        <f>$F$2*A2^$G$2*($H$2+EXP($I$2/A2))</f>
        <v>2525.8880499482539</v>
      </c>
      <c r="D2">
        <f>ABS(B2-C2)/B2*100</f>
        <v>1.8609793803042621E-2</v>
      </c>
      <c r="E2" s="10">
        <f>((C2/B2)-1)*100</f>
        <v>-1.8609793803037178E-2</v>
      </c>
      <c r="F2" s="11">
        <v>0.2429</v>
      </c>
      <c r="G2">
        <v>1.5</v>
      </c>
      <c r="H2">
        <v>1</v>
      </c>
      <c r="I2">
        <v>0.37940000000000002</v>
      </c>
    </row>
    <row r="3" spans="1:9" x14ac:dyDescent="0.35">
      <c r="A3" s="8">
        <v>225</v>
      </c>
      <c r="B3">
        <v>1640.5743</v>
      </c>
      <c r="C3">
        <f t="shared" ref="C3:C8" si="0">$F$2*A3^$G$2*($H$2+EXP($I$2/A3))</f>
        <v>1640.9585100248571</v>
      </c>
      <c r="D3">
        <f t="shared" ref="D3:D8" si="1">ABS(B3-C3)/B3*100</f>
        <v>2.3419239522227759E-2</v>
      </c>
      <c r="E3" s="10">
        <f t="shared" ref="E3:E8" si="2">((C3/B3)-1)*100</f>
        <v>2.3419239522226576E-2</v>
      </c>
    </row>
    <row r="4" spans="1:9" x14ac:dyDescent="0.35">
      <c r="A4" s="8">
        <v>150</v>
      </c>
      <c r="B4">
        <v>893.21669999999995</v>
      </c>
      <c r="C4">
        <f t="shared" si="0"/>
        <v>893.60169545808219</v>
      </c>
      <c r="D4">
        <f t="shared" si="1"/>
        <v>4.3102133903479882E-2</v>
      </c>
      <c r="E4" s="10">
        <f t="shared" si="2"/>
        <v>4.3102133903483164E-2</v>
      </c>
    </row>
    <row r="5" spans="1:9" x14ac:dyDescent="0.35">
      <c r="A5" s="9">
        <v>75</v>
      </c>
      <c r="B5">
        <v>316.41930000000002</v>
      </c>
      <c r="C5">
        <f>$F$2*A5^$G$2*($H$2+EXP($I$2/A5))</f>
        <v>316.33647455223456</v>
      </c>
      <c r="D5" s="1">
        <f t="shared" si="1"/>
        <v>2.6175852030978573E-2</v>
      </c>
      <c r="E5" s="10">
        <f t="shared" si="2"/>
        <v>-2.6175852030974056E-2</v>
      </c>
    </row>
    <row r="6" spans="1:9" x14ac:dyDescent="0.35">
      <c r="A6">
        <v>37.5</v>
      </c>
      <c r="B6">
        <v>112.4187</v>
      </c>
      <c r="C6">
        <f t="shared" si="0"/>
        <v>112.12615246455312</v>
      </c>
      <c r="D6" s="1">
        <f t="shared" si="1"/>
        <v>0.26023031350379061</v>
      </c>
      <c r="E6" s="10">
        <f t="shared" si="2"/>
        <v>-0.26023031350379533</v>
      </c>
    </row>
    <row r="7" spans="1:9" x14ac:dyDescent="0.35">
      <c r="A7">
        <v>18.75</v>
      </c>
      <c r="B7">
        <v>40.155799999999999</v>
      </c>
      <c r="C7">
        <f t="shared" si="0"/>
        <v>39.845157469263746</v>
      </c>
      <c r="D7" s="1">
        <f t="shared" si="1"/>
        <v>0.77359318139908262</v>
      </c>
      <c r="E7" s="10">
        <f t="shared" si="2"/>
        <v>-0.77359318139907929</v>
      </c>
    </row>
    <row r="8" spans="1:9" x14ac:dyDescent="0.35">
      <c r="A8">
        <v>9.375</v>
      </c>
      <c r="B8">
        <v>14.497</v>
      </c>
      <c r="C8">
        <f t="shared" si="0"/>
        <v>14.232825744279959</v>
      </c>
      <c r="D8" s="1">
        <f t="shared" si="1"/>
        <v>1.822268439815419</v>
      </c>
      <c r="E8" s="10">
        <f t="shared" si="2"/>
        <v>-1.8222684398154221</v>
      </c>
    </row>
  </sheetData>
  <conditionalFormatting sqref="D2:D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4D22-6DB2-4F6A-9281-59DCC3979454}">
  <dimension ref="A1:I8"/>
  <sheetViews>
    <sheetView workbookViewId="0">
      <selection activeCell="C1" sqref="C1:I8"/>
    </sheetView>
  </sheetViews>
  <sheetFormatPr defaultRowHeight="14.5" x14ac:dyDescent="0.35"/>
  <cols>
    <col min="1" max="1" width="15.6328125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11962.7876</v>
      </c>
      <c r="C2">
        <f>$F$2*A2^$G$2*($H$2+EXP($I$2/A2))</f>
        <v>11961.792947470987</v>
      </c>
      <c r="D2">
        <f>ABS(B2-C2)/B2*100</f>
        <v>8.3145547866490203E-3</v>
      </c>
      <c r="E2" s="10">
        <f>((C2/B2)-1)*100</f>
        <v>-8.3145547866481095E-3</v>
      </c>
      <c r="F2" s="11">
        <v>1.5078</v>
      </c>
      <c r="G2">
        <v>1.5</v>
      </c>
      <c r="H2">
        <v>1</v>
      </c>
      <c r="I2">
        <v>-192.30330000000001</v>
      </c>
    </row>
    <row r="3" spans="1:9" x14ac:dyDescent="0.35">
      <c r="A3" s="8">
        <v>225</v>
      </c>
      <c r="B3">
        <v>7253.7830000000004</v>
      </c>
      <c r="C3">
        <f t="shared" ref="C3:C8" si="0">$F$2*A3^$G$2*($H$2+EXP($I$2/A3))</f>
        <v>7253.7065005222521</v>
      </c>
      <c r="D3">
        <f t="shared" ref="D3:D8" si="1">ABS(B3-C3)/B3*100</f>
        <v>1.0546149195289828E-3</v>
      </c>
      <c r="E3" s="10">
        <f t="shared" ref="E3:E8" si="2">((C3/B3)-1)*100</f>
        <v>-1.0546149195267418E-3</v>
      </c>
    </row>
    <row r="4" spans="1:9" x14ac:dyDescent="0.35">
      <c r="A4" s="8">
        <v>150</v>
      </c>
      <c r="B4">
        <v>3537.0834</v>
      </c>
      <c r="C4">
        <f t="shared" si="0"/>
        <v>3538.6146203368339</v>
      </c>
      <c r="D4">
        <f t="shared" si="1"/>
        <v>4.3290478727019542E-2</v>
      </c>
      <c r="E4" s="10">
        <f t="shared" si="2"/>
        <v>4.329047872702052E-2</v>
      </c>
    </row>
    <row r="5" spans="1:9" x14ac:dyDescent="0.35">
      <c r="A5" s="9">
        <v>75</v>
      </c>
      <c r="B5">
        <v>1050.7791999999999</v>
      </c>
      <c r="C5">
        <f>$F$2*A5^$G$2*($H$2+EXP($I$2/A5))</f>
        <v>1054.7472806780127</v>
      </c>
      <c r="D5" s="1">
        <f t="shared" si="1"/>
        <v>0.37763220646285267</v>
      </c>
      <c r="E5" s="10">
        <f t="shared" si="2"/>
        <v>0.37763220646285234</v>
      </c>
    </row>
    <row r="6" spans="1:9" x14ac:dyDescent="0.35">
      <c r="A6" s="9">
        <v>37.5</v>
      </c>
      <c r="B6">
        <v>346.04660000000001</v>
      </c>
      <c r="C6">
        <f t="shared" si="0"/>
        <v>348.30321826217988</v>
      </c>
      <c r="D6" s="1">
        <f t="shared" si="1"/>
        <v>0.65211398181050473</v>
      </c>
      <c r="E6" s="10">
        <f t="shared" si="2"/>
        <v>0.65211398181050928</v>
      </c>
    </row>
    <row r="7" spans="1:9" x14ac:dyDescent="0.35">
      <c r="A7">
        <v>18.75</v>
      </c>
      <c r="B7">
        <v>122.07250000000001</v>
      </c>
      <c r="C7">
        <f t="shared" si="0"/>
        <v>122.42240523209418</v>
      </c>
      <c r="D7" s="1">
        <f t="shared" si="1"/>
        <v>0.28663722959239213</v>
      </c>
      <c r="E7" s="10">
        <f t="shared" si="2"/>
        <v>0.28663722959239024</v>
      </c>
    </row>
    <row r="8" spans="1:9" x14ac:dyDescent="0.35">
      <c r="A8">
        <v>9.375</v>
      </c>
      <c r="B8">
        <v>43.564599999999999</v>
      </c>
      <c r="C8">
        <f t="shared" si="0"/>
        <v>43.281335610105884</v>
      </c>
      <c r="D8" s="1">
        <f t="shared" si="1"/>
        <v>0.65021689604429811</v>
      </c>
      <c r="E8" s="10">
        <f t="shared" si="2"/>
        <v>-0.65021689604429778</v>
      </c>
    </row>
  </sheetData>
  <conditionalFormatting sqref="D2:D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ACCC-E45C-49ED-B8F0-3B5F40B4DEDF}">
  <dimension ref="A1:I10"/>
  <sheetViews>
    <sheetView workbookViewId="0">
      <selection activeCell="C1" sqref="C1:I10"/>
    </sheetView>
  </sheetViews>
  <sheetFormatPr defaultRowHeight="14.5" x14ac:dyDescent="0.35"/>
  <cols>
    <col min="1" max="1" width="14.90625" bestFit="1" customWidth="1"/>
    <col min="4" max="4" width="11.816406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7681.9201000000003</v>
      </c>
      <c r="C2">
        <f>$F$2*A2^$G$2*($H$2+EXP($I$2/A2))</f>
        <v>7680.3630314954953</v>
      </c>
      <c r="D2">
        <f>ABS(B2-C2)/B2*100</f>
        <v>2.0269261906342512E-2</v>
      </c>
      <c r="E2" s="10">
        <f>((C2/B2)-1)*100</f>
        <v>-2.0269261906347147E-2</v>
      </c>
      <c r="F2" s="11">
        <v>0.73882000000000003</v>
      </c>
      <c r="G2">
        <v>1.5</v>
      </c>
      <c r="H2">
        <v>1</v>
      </c>
      <c r="I2" s="11">
        <v>0.18126999999999999</v>
      </c>
    </row>
    <row r="3" spans="1:9" x14ac:dyDescent="0.35">
      <c r="A3" s="8">
        <v>225</v>
      </c>
      <c r="B3">
        <v>4987.6117999999997</v>
      </c>
      <c r="C3">
        <f t="shared" ref="C3:C8" si="0">$F$2*A3^$G$2*($H$2+EXP($I$2/A3))</f>
        <v>4989.0446979632961</v>
      </c>
      <c r="D3">
        <f t="shared" ref="D3:D8" si="1">ABS(B3-C3)/B3*100</f>
        <v>2.8729139731693928E-2</v>
      </c>
      <c r="E3" s="10">
        <f t="shared" ref="E3:E8" si="2">((C3/B3)-1)*100</f>
        <v>2.8729139731686892E-2</v>
      </c>
    </row>
    <row r="4" spans="1:9" x14ac:dyDescent="0.35">
      <c r="A4" s="8">
        <v>150</v>
      </c>
      <c r="B4">
        <v>2714.5057000000002</v>
      </c>
      <c r="C4">
        <f t="shared" si="0"/>
        <v>2716.2392597469102</v>
      </c>
      <c r="D4">
        <f t="shared" si="1"/>
        <v>6.38628147625563E-2</v>
      </c>
      <c r="E4" s="10">
        <f t="shared" si="2"/>
        <v>6.3862814762560838E-2</v>
      </c>
    </row>
    <row r="5" spans="1:9" x14ac:dyDescent="0.35">
      <c r="A5" s="9">
        <v>75</v>
      </c>
      <c r="B5">
        <v>960.50170000000003</v>
      </c>
      <c r="C5">
        <f>$F$2*A5^$G$2*($H$2+EXP($I$2/A5))</f>
        <v>960.91656831299611</v>
      </c>
      <c r="D5" s="1">
        <f t="shared" si="1"/>
        <v>4.3192876493199049E-2</v>
      </c>
      <c r="E5" s="10">
        <f t="shared" si="2"/>
        <v>4.3192876493192145E-2</v>
      </c>
    </row>
    <row r="6" spans="1:9" x14ac:dyDescent="0.35">
      <c r="A6" s="9">
        <v>37.5</v>
      </c>
      <c r="B6">
        <v>340.464</v>
      </c>
      <c r="C6">
        <f t="shared" si="0"/>
        <v>340.146862895933</v>
      </c>
      <c r="D6" s="1">
        <f t="shared" si="1"/>
        <v>9.3148498539346605E-2</v>
      </c>
      <c r="E6" s="10">
        <f t="shared" si="2"/>
        <v>-9.3148498539341595E-2</v>
      </c>
    </row>
    <row r="7" spans="1:9" x14ac:dyDescent="0.35">
      <c r="A7">
        <v>18.75</v>
      </c>
      <c r="B7">
        <v>121.16459999999999</v>
      </c>
      <c r="C7">
        <f t="shared" si="0"/>
        <v>120.55214511163138</v>
      </c>
      <c r="D7" s="1">
        <f t="shared" si="1"/>
        <v>0.50547345377166053</v>
      </c>
      <c r="E7" s="10">
        <f t="shared" si="2"/>
        <v>-0.50547345377166542</v>
      </c>
    </row>
    <row r="8" spans="1:9" x14ac:dyDescent="0.35">
      <c r="A8">
        <v>9.375</v>
      </c>
      <c r="B8">
        <v>44.3733</v>
      </c>
      <c r="C8">
        <f t="shared" si="0"/>
        <v>42.829646729295639</v>
      </c>
      <c r="D8" s="1">
        <f t="shared" si="1"/>
        <v>3.4787885298239276</v>
      </c>
      <c r="E8" s="10">
        <f t="shared" si="2"/>
        <v>-3.4787885298239285</v>
      </c>
    </row>
    <row r="9" spans="1:9" x14ac:dyDescent="0.35">
      <c r="A9" s="10">
        <v>5</v>
      </c>
      <c r="B9">
        <v>19.234000000000002</v>
      </c>
      <c r="C9">
        <f t="shared" ref="C9:C10" si="3">$F$2*A9^$G$2*($H$2+EXP($I$2/A9))</f>
        <v>16.825479496626155</v>
      </c>
      <c r="D9" s="1">
        <f t="shared" ref="D9:D10" si="4">ABS(B9-C9)/B9*100</f>
        <v>12.522202887458908</v>
      </c>
      <c r="E9" s="10">
        <f t="shared" ref="E9:E10" si="5">((C9/B9)-1)*100</f>
        <v>-12.52220288745891</v>
      </c>
    </row>
    <row r="10" spans="1:9" x14ac:dyDescent="0.35">
      <c r="A10">
        <v>2.7250000000000001</v>
      </c>
      <c r="B10">
        <v>9.3544999999999998</v>
      </c>
      <c r="C10">
        <f t="shared" si="3"/>
        <v>6.8754867651318632</v>
      </c>
      <c r="D10" s="1">
        <f t="shared" si="4"/>
        <v>26.500756158727206</v>
      </c>
      <c r="E10" s="10">
        <f t="shared" si="5"/>
        <v>-26.500756158727214</v>
      </c>
    </row>
  </sheetData>
  <conditionalFormatting sqref="D2:D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3F68-4F73-4CB0-A0B6-6872301E0297}">
  <dimension ref="A1:I11"/>
  <sheetViews>
    <sheetView workbookViewId="0">
      <selection activeCell="C1" sqref="C1:I11"/>
    </sheetView>
  </sheetViews>
  <sheetFormatPr defaultRowHeight="14.5" x14ac:dyDescent="0.35"/>
  <cols>
    <col min="1" max="1" width="14.453125" bestFit="1" customWidth="1"/>
    <col min="4" max="4" width="11.816406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500</v>
      </c>
      <c r="B2">
        <v>12918.029500000001</v>
      </c>
      <c r="C2">
        <f>$F$2*A2^$G$2*($H$2+EXP($I$2/A2))</f>
        <v>12916.473953505978</v>
      </c>
      <c r="D2">
        <f>ABS(B2-C2)/B2*100</f>
        <v>1.2041670086157991E-2</v>
      </c>
      <c r="E2" s="10">
        <f>((C2/B2)-1)*100</f>
        <v>-1.2041670086160305E-2</v>
      </c>
      <c r="F2" s="11">
        <v>1.1563300000000001</v>
      </c>
      <c r="G2">
        <v>1.5</v>
      </c>
      <c r="H2">
        <v>0</v>
      </c>
      <c r="I2" s="11">
        <v>-0.45225900000000002</v>
      </c>
    </row>
    <row r="3" spans="1:9" x14ac:dyDescent="0.35">
      <c r="A3" s="8">
        <v>300</v>
      </c>
      <c r="B3">
        <v>5996.0475999999999</v>
      </c>
      <c r="C3">
        <f t="shared" ref="C3:C10" si="0">$F$2*A3^$G$2*($H$2+EXP($I$2/A3))</f>
        <v>5999.415810927595</v>
      </c>
      <c r="D3">
        <f t="shared" ref="D3:D10" si="1">ABS(B3-C3)/B3*100</f>
        <v>5.617385238227763E-2</v>
      </c>
      <c r="E3" s="10">
        <f t="shared" ref="E3:E10" si="2">((C3/B3)-1)*100</f>
        <v>5.6173852382279676E-2</v>
      </c>
    </row>
    <row r="4" spans="1:9" x14ac:dyDescent="0.35">
      <c r="A4" s="8">
        <v>225</v>
      </c>
      <c r="B4">
        <v>3893.3024999999998</v>
      </c>
      <c r="C4">
        <f t="shared" si="0"/>
        <v>3894.7772187670375</v>
      </c>
      <c r="D4">
        <f t="shared" si="1"/>
        <v>3.7878350501605179E-2</v>
      </c>
      <c r="E4" s="10">
        <f t="shared" si="2"/>
        <v>3.7878350501596714E-2</v>
      </c>
    </row>
    <row r="5" spans="1:9" x14ac:dyDescent="0.35">
      <c r="A5" s="8">
        <v>150</v>
      </c>
      <c r="B5">
        <v>2119.1954000000001</v>
      </c>
      <c r="C5">
        <f>$F$2*A5^$G$2*($H$2+EXP($I$2/A5))</f>
        <v>2117.9185679035345</v>
      </c>
      <c r="D5" s="1">
        <f t="shared" si="1"/>
        <v>6.0250795960842901E-2</v>
      </c>
      <c r="E5" s="10">
        <f t="shared" si="2"/>
        <v>-6.0250795960847814E-2</v>
      </c>
    </row>
    <row r="6" spans="1:9" x14ac:dyDescent="0.35">
      <c r="A6" s="9">
        <v>75</v>
      </c>
      <c r="B6">
        <v>750.1191</v>
      </c>
      <c r="C6">
        <f t="shared" si="0"/>
        <v>746.54302200887173</v>
      </c>
      <c r="D6" s="1">
        <f t="shared" si="1"/>
        <v>0.47673469334779939</v>
      </c>
      <c r="E6" s="10">
        <f t="shared" si="2"/>
        <v>-0.47673469334780227</v>
      </c>
    </row>
    <row r="7" spans="1:9" x14ac:dyDescent="0.35">
      <c r="A7" s="9">
        <v>37.5</v>
      </c>
      <c r="B7">
        <v>265.71319999999997</v>
      </c>
      <c r="C7">
        <f t="shared" si="0"/>
        <v>262.35599895635374</v>
      </c>
      <c r="D7" s="1">
        <f t="shared" si="1"/>
        <v>1.26346792091858</v>
      </c>
      <c r="E7" s="10">
        <f t="shared" si="2"/>
        <v>-1.2634679209185817</v>
      </c>
    </row>
    <row r="8" spans="1:9" x14ac:dyDescent="0.35">
      <c r="A8">
        <v>18.75</v>
      </c>
      <c r="B8">
        <v>91.254300000000001</v>
      </c>
      <c r="C8">
        <f t="shared" si="0"/>
        <v>91.644901742045192</v>
      </c>
      <c r="D8" s="1">
        <f t="shared" si="1"/>
        <v>0.42803653312248485</v>
      </c>
      <c r="E8" s="10">
        <f t="shared" si="2"/>
        <v>0.4280365331224889</v>
      </c>
    </row>
    <row r="9" spans="1:9" x14ac:dyDescent="0.35">
      <c r="A9">
        <v>9.375</v>
      </c>
      <c r="B9">
        <v>27.553799999999999</v>
      </c>
      <c r="C9">
        <f t="shared" si="0"/>
        <v>31.629179436950363</v>
      </c>
      <c r="D9" s="1">
        <f t="shared" si="1"/>
        <v>14.790625746540817</v>
      </c>
      <c r="E9" s="10">
        <f t="shared" si="2"/>
        <v>14.790625746540819</v>
      </c>
    </row>
    <row r="10" spans="1:9" x14ac:dyDescent="0.35">
      <c r="A10" s="10">
        <v>5</v>
      </c>
      <c r="B10">
        <v>8.7423999999999999</v>
      </c>
      <c r="C10">
        <f t="shared" si="0"/>
        <v>11.810113790867851</v>
      </c>
      <c r="D10" s="1">
        <f t="shared" si="1"/>
        <v>35.090064408719009</v>
      </c>
      <c r="E10" s="10">
        <f t="shared" si="2"/>
        <v>35.090064408719002</v>
      </c>
    </row>
    <row r="11" spans="1:9" x14ac:dyDescent="0.35">
      <c r="A11">
        <v>2.7250000000000001</v>
      </c>
      <c r="B11">
        <v>3.7879</v>
      </c>
      <c r="C11">
        <f t="shared" ref="C11" si="3">$F$2*A11^$G$2*($H$2+EXP($I$2/A11))</f>
        <v>4.4060880544739591</v>
      </c>
      <c r="D11" s="1">
        <f t="shared" ref="D11" si="4">ABS(B11-C11)/B11*100</f>
        <v>16.320073245702343</v>
      </c>
      <c r="E11" s="10">
        <f t="shared" ref="E11" si="5">((C11/B11)-1)*100</f>
        <v>16.32007324570235</v>
      </c>
    </row>
  </sheetData>
  <conditionalFormatting sqref="D2:D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F8D4-8040-4265-8A05-BF99D13A33C2}">
  <dimension ref="A1:I11"/>
  <sheetViews>
    <sheetView workbookViewId="0">
      <selection activeCell="A4" sqref="A4:A10"/>
    </sheetView>
  </sheetViews>
  <sheetFormatPr defaultRowHeight="14.5" x14ac:dyDescent="0.35"/>
  <cols>
    <col min="1" max="1" width="15.4531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1000</v>
      </c>
      <c r="B2">
        <v>1730.6116999999999</v>
      </c>
      <c r="C2">
        <f>$F$2*A2^$G$2*($H$2+EXP($I$2/A2))</f>
        <v>1730.2182374957858</v>
      </c>
      <c r="D2">
        <f>ABS(B2-C2)/B2*100</f>
        <v>2.2735458463275453E-2</v>
      </c>
      <c r="E2" s="10">
        <f>((C2/B2)-1)*100</f>
        <v>-2.2735458463274405E-2</v>
      </c>
      <c r="F2" s="11">
        <v>1.7295</v>
      </c>
      <c r="G2">
        <v>1</v>
      </c>
      <c r="H2">
        <v>0</v>
      </c>
      <c r="I2" s="11">
        <v>0.41520000000000001</v>
      </c>
    </row>
    <row r="3" spans="1:9" x14ac:dyDescent="0.35">
      <c r="A3" s="8">
        <v>500</v>
      </c>
      <c r="B3">
        <v>865.01020000000005</v>
      </c>
      <c r="C3">
        <f t="shared" ref="C3:C10" si="0">$F$2*A3^$G$2*($H$2+EXP($I$2/A3))</f>
        <v>865.46838663284882</v>
      </c>
      <c r="D3">
        <f t="shared" ref="D3:D10" si="1">ABS(B3-C3)/B3*100</f>
        <v>5.2968928325789096E-2</v>
      </c>
      <c r="E3" s="10">
        <f t="shared" ref="E3:E10" si="2">((C3/B3)-1)*100</f>
        <v>5.2968928325780595E-2</v>
      </c>
    </row>
    <row r="4" spans="1:9" x14ac:dyDescent="0.35">
      <c r="A4" s="8">
        <v>300</v>
      </c>
      <c r="B4">
        <v>519.21619999999996</v>
      </c>
      <c r="C4">
        <f t="shared" si="0"/>
        <v>519.56858554649659</v>
      </c>
      <c r="D4">
        <f t="shared" si="1"/>
        <v>6.7868750338805794E-2</v>
      </c>
      <c r="E4" s="10">
        <f t="shared" si="2"/>
        <v>6.7868750338795358E-2</v>
      </c>
    </row>
    <row r="5" spans="1:9" x14ac:dyDescent="0.35">
      <c r="A5" s="8">
        <v>225</v>
      </c>
      <c r="B5">
        <v>389.60930000000002</v>
      </c>
      <c r="C5">
        <f>$F$2*A5^$G$2*($H$2+EXP($I$2/A5))</f>
        <v>389.85625136396419</v>
      </c>
      <c r="D5" s="1">
        <f t="shared" si="1"/>
        <v>6.3384360682399471E-2</v>
      </c>
      <c r="E5" s="10">
        <f t="shared" si="2"/>
        <v>6.3384360682405827E-2</v>
      </c>
    </row>
    <row r="6" spans="1:9" x14ac:dyDescent="0.35">
      <c r="A6" s="8">
        <v>150</v>
      </c>
      <c r="B6">
        <v>260.0385</v>
      </c>
      <c r="C6">
        <f t="shared" si="0"/>
        <v>260.14408315195834</v>
      </c>
      <c r="D6" s="1">
        <f t="shared" si="1"/>
        <v>4.0602892248010239E-2</v>
      </c>
      <c r="E6" s="10">
        <f t="shared" si="2"/>
        <v>4.0602892248009503E-2</v>
      </c>
    </row>
    <row r="7" spans="1:9" x14ac:dyDescent="0.35">
      <c r="A7" s="9">
        <v>75</v>
      </c>
      <c r="B7">
        <v>130.50489999999999</v>
      </c>
      <c r="C7">
        <f t="shared" si="0"/>
        <v>130.43257974168452</v>
      </c>
      <c r="D7" s="1">
        <f t="shared" si="1"/>
        <v>5.5415741719637826E-2</v>
      </c>
      <c r="E7" s="10">
        <f t="shared" si="2"/>
        <v>-5.541574171963326E-2</v>
      </c>
    </row>
    <row r="8" spans="1:9" x14ac:dyDescent="0.35">
      <c r="A8" s="9">
        <v>37.5</v>
      </c>
      <c r="B8">
        <v>65.754999999999995</v>
      </c>
      <c r="C8">
        <f t="shared" si="0"/>
        <v>65.578328449728787</v>
      </c>
      <c r="D8" s="1">
        <f t="shared" si="1"/>
        <v>0.2686815455421015</v>
      </c>
      <c r="E8" s="10">
        <f t="shared" si="2"/>
        <v>-0.26868154554210433</v>
      </c>
    </row>
    <row r="9" spans="1:9" x14ac:dyDescent="0.35">
      <c r="A9">
        <v>18.75</v>
      </c>
      <c r="B9">
        <v>33.390599999999999</v>
      </c>
      <c r="C9">
        <f t="shared" si="0"/>
        <v>33.154223087678574</v>
      </c>
      <c r="D9" s="1">
        <f t="shared" si="1"/>
        <v>0.7079145397849258</v>
      </c>
      <c r="E9" s="10">
        <f t="shared" si="2"/>
        <v>-0.70791453978492624</v>
      </c>
    </row>
    <row r="10" spans="1:9" x14ac:dyDescent="0.35">
      <c r="A10">
        <v>9.375</v>
      </c>
      <c r="B10">
        <v>17.224</v>
      </c>
      <c r="C10">
        <f t="shared" si="0"/>
        <v>16.948289618156441</v>
      </c>
      <c r="D10" s="1">
        <f t="shared" si="1"/>
        <v>1.600733754316997</v>
      </c>
      <c r="E10" s="10">
        <f t="shared" si="2"/>
        <v>-1.6007337543169964</v>
      </c>
    </row>
    <row r="11" spans="1:9" x14ac:dyDescent="0.35">
      <c r="B11" s="10"/>
      <c r="D11" s="1"/>
      <c r="E11" s="10"/>
    </row>
  </sheetData>
  <conditionalFormatting sqref="D2:D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3F8-4E4F-45F0-9F13-47508051F2F6}">
  <dimension ref="A1:I31"/>
  <sheetViews>
    <sheetView workbookViewId="0">
      <selection activeCell="F14" sqref="F14"/>
    </sheetView>
  </sheetViews>
  <sheetFormatPr defaultRowHeight="14.5" x14ac:dyDescent="0.35"/>
  <cols>
    <col min="1" max="1" width="14.1796875" customWidth="1"/>
    <col min="2" max="2" width="8.7265625" style="8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53426.1</v>
      </c>
      <c r="C2">
        <f>$F$2*A2^$G$2*($H$2+EXP($I$2/A2))</f>
        <v>53272.84893916834</v>
      </c>
      <c r="D2">
        <f>ABS(B2-C2)/B2*100</f>
        <v>0.28684680489809067</v>
      </c>
      <c r="E2" s="10">
        <f>((C2/B2)-1)*100</f>
        <v>-0.28684680489808878</v>
      </c>
      <c r="F2" s="11">
        <v>18.782599999999999</v>
      </c>
      <c r="G2">
        <v>1.5</v>
      </c>
      <c r="H2">
        <v>0.27898699999999999</v>
      </c>
      <c r="I2" s="11">
        <v>-396.31299999999999</v>
      </c>
    </row>
    <row r="3" spans="1:9" x14ac:dyDescent="0.35">
      <c r="A3" s="8">
        <v>290</v>
      </c>
      <c r="B3">
        <v>49586.8</v>
      </c>
      <c r="C3">
        <f t="shared" ref="C3:C10" si="0">$F$2*A3^$G$2*($H$2+EXP($I$2/A3))</f>
        <v>49529.238730397279</v>
      </c>
      <c r="D3">
        <f t="shared" ref="D3:D10" si="1">ABS(B3-C3)/B3*100</f>
        <v>0.11608183952730114</v>
      </c>
      <c r="E3" s="10">
        <f t="shared" ref="E3:E10" si="2">((C3/B3)-1)*100</f>
        <v>-0.11608183952730444</v>
      </c>
    </row>
    <row r="4" spans="1:9" x14ac:dyDescent="0.35">
      <c r="A4" s="8">
        <v>280</v>
      </c>
      <c r="B4">
        <v>45908.4</v>
      </c>
      <c r="C4">
        <f t="shared" si="0"/>
        <v>45920.750691572874</v>
      </c>
      <c r="D4">
        <f t="shared" si="1"/>
        <v>2.6902901370712475E-2</v>
      </c>
      <c r="E4" s="10">
        <f t="shared" si="2"/>
        <v>2.6902901370706722E-2</v>
      </c>
    </row>
    <row r="5" spans="1:9" x14ac:dyDescent="0.35">
      <c r="A5" s="8">
        <v>270</v>
      </c>
      <c r="B5">
        <v>42390.1</v>
      </c>
      <c r="C5">
        <f>$F$2*A5^$G$2*($H$2+EXP($I$2/A5))</f>
        <v>42449.374763420681</v>
      </c>
      <c r="D5" s="1">
        <f t="shared" si="1"/>
        <v>0.1398316196958313</v>
      </c>
      <c r="E5" s="10">
        <f t="shared" si="2"/>
        <v>0.13983161969584046</v>
      </c>
    </row>
    <row r="6" spans="1:9" x14ac:dyDescent="0.35">
      <c r="A6" s="8">
        <v>260</v>
      </c>
      <c r="B6">
        <v>39031</v>
      </c>
      <c r="C6">
        <f t="shared" si="0"/>
        <v>39117.077495691949</v>
      </c>
      <c r="D6" s="1">
        <f t="shared" si="1"/>
        <v>0.22053622938676581</v>
      </c>
      <c r="E6" s="10">
        <f t="shared" si="2"/>
        <v>0.22053622938675854</v>
      </c>
    </row>
    <row r="7" spans="1:9" x14ac:dyDescent="0.35">
      <c r="A7" s="8">
        <v>250</v>
      </c>
      <c r="B7">
        <v>35830.199999999997</v>
      </c>
      <c r="C7">
        <f t="shared" si="0"/>
        <v>35925.781517709838</v>
      </c>
      <c r="D7" s="1">
        <f t="shared" si="1"/>
        <v>0.26676244539478189</v>
      </c>
      <c r="E7" s="10">
        <f t="shared" si="2"/>
        <v>0.26676244539478589</v>
      </c>
    </row>
    <row r="8" spans="1:9" x14ac:dyDescent="0.35">
      <c r="A8" s="8">
        <v>240</v>
      </c>
      <c r="B8">
        <v>32786.300000000003</v>
      </c>
      <c r="C8">
        <f t="shared" si="0"/>
        <v>32877.339899035542</v>
      </c>
      <c r="D8" s="1">
        <f t="shared" si="1"/>
        <v>0.27767664858657071</v>
      </c>
      <c r="E8" s="10">
        <f t="shared" si="2"/>
        <v>0.27767664858657781</v>
      </c>
    </row>
    <row r="9" spans="1:9" x14ac:dyDescent="0.35">
      <c r="A9" s="8">
        <v>230</v>
      </c>
      <c r="B9">
        <v>29898.2</v>
      </c>
      <c r="C9">
        <f t="shared" si="0"/>
        <v>29973.504266728058</v>
      </c>
      <c r="D9" s="1">
        <f t="shared" si="1"/>
        <v>0.25186889755255154</v>
      </c>
      <c r="E9" s="10">
        <f t="shared" si="2"/>
        <v>0.25186889755255404</v>
      </c>
    </row>
    <row r="10" spans="1:9" x14ac:dyDescent="0.35">
      <c r="A10" s="8">
        <v>220</v>
      </c>
      <c r="B10">
        <v>27164.3</v>
      </c>
      <c r="C10">
        <f t="shared" si="0"/>
        <v>27215.885316823467</v>
      </c>
      <c r="D10" s="1">
        <f t="shared" si="1"/>
        <v>0.18990114533953764</v>
      </c>
      <c r="E10" s="10">
        <f t="shared" si="2"/>
        <v>0.18990114533954383</v>
      </c>
    </row>
    <row r="11" spans="1:9" x14ac:dyDescent="0.35">
      <c r="A11" s="8">
        <v>210</v>
      </c>
      <c r="B11">
        <v>24583.1</v>
      </c>
      <c r="C11">
        <f t="shared" ref="C11:C31" si="3">$F$2*A11^$G$2*($H$2+EXP($I$2/A11))</f>
        <v>24605.904098921659</v>
      </c>
      <c r="D11" s="1">
        <f t="shared" ref="D11:D31" si="4">ABS(B11-C11)/B11*100</f>
        <v>9.2763316756880251E-2</v>
      </c>
      <c r="E11" s="10">
        <f t="shared" ref="E11:E31" si="5">((C11/B11)-1)*100</f>
        <v>9.2763316756871994E-2</v>
      </c>
    </row>
    <row r="12" spans="1:9" x14ac:dyDescent="0.35">
      <c r="A12" s="8">
        <v>200</v>
      </c>
      <c r="B12">
        <v>22152.6</v>
      </c>
      <c r="C12">
        <f t="shared" si="3"/>
        <v>22144.732173467633</v>
      </c>
      <c r="D12" s="1">
        <f t="shared" si="4"/>
        <v>3.5516492566855101E-2</v>
      </c>
      <c r="E12" s="10">
        <f t="shared" si="5"/>
        <v>-3.5516492566856073E-2</v>
      </c>
    </row>
    <row r="13" spans="1:9" x14ac:dyDescent="0.35">
      <c r="A13" s="8">
        <v>190</v>
      </c>
      <c r="B13">
        <v>19871</v>
      </c>
      <c r="C13">
        <f t="shared" si="3"/>
        <v>19833.218464052352</v>
      </c>
      <c r="D13" s="1">
        <f t="shared" si="4"/>
        <v>0.19013404432413106</v>
      </c>
      <c r="E13" s="10">
        <f t="shared" si="5"/>
        <v>-0.19013404432413061</v>
      </c>
    </row>
    <row r="14" spans="1:9" x14ac:dyDescent="0.35">
      <c r="A14" s="8">
        <v>180</v>
      </c>
      <c r="B14">
        <v>17736</v>
      </c>
      <c r="C14">
        <f t="shared" si="3"/>
        <v>17671.800398211984</v>
      </c>
      <c r="D14" s="1">
        <f t="shared" si="4"/>
        <v>0.36197339754181085</v>
      </c>
      <c r="E14" s="10">
        <f t="shared" si="5"/>
        <v>-0.3619733975418149</v>
      </c>
    </row>
    <row r="15" spans="1:9" x14ac:dyDescent="0.35">
      <c r="A15" s="8">
        <v>170</v>
      </c>
      <c r="B15">
        <v>15745</v>
      </c>
      <c r="C15">
        <f t="shared" si="3"/>
        <v>15660.396837635892</v>
      </c>
      <c r="D15" s="1">
        <f t="shared" si="4"/>
        <v>0.53733351771424798</v>
      </c>
      <c r="E15" s="10">
        <f t="shared" si="5"/>
        <v>-0.53733351771424465</v>
      </c>
    </row>
    <row r="16" spans="1:9" x14ac:dyDescent="0.35">
      <c r="A16" s="8">
        <v>160</v>
      </c>
      <c r="B16">
        <v>13895.5</v>
      </c>
      <c r="C16">
        <f t="shared" si="3"/>
        <v>13798.28050118783</v>
      </c>
      <c r="D16" s="1">
        <f t="shared" si="4"/>
        <v>0.69964735930459543</v>
      </c>
      <c r="E16" s="10">
        <f t="shared" si="5"/>
        <v>-0.69964735930460042</v>
      </c>
    </row>
    <row r="17" spans="1:5" x14ac:dyDescent="0.35">
      <c r="A17" s="8">
        <v>150</v>
      </c>
      <c r="B17">
        <v>12184.2</v>
      </c>
      <c r="C17">
        <f t="shared" si="3"/>
        <v>12083.928359412212</v>
      </c>
      <c r="D17" s="1">
        <f t="shared" si="4"/>
        <v>0.82296449982591446</v>
      </c>
      <c r="E17" s="10">
        <f t="shared" si="5"/>
        <v>-0.82296449982591779</v>
      </c>
    </row>
    <row r="18" spans="1:5" x14ac:dyDescent="0.35">
      <c r="A18" s="8">
        <v>140</v>
      </c>
      <c r="B18">
        <v>10607.9</v>
      </c>
      <c r="C18">
        <f t="shared" si="3"/>
        <v>10514.850299827493</v>
      </c>
      <c r="D18" s="1">
        <f t="shared" si="4"/>
        <v>0.87717361751625744</v>
      </c>
      <c r="E18" s="10">
        <f t="shared" si="5"/>
        <v>-0.87717361751625811</v>
      </c>
    </row>
    <row r="19" spans="1:5" x14ac:dyDescent="0.35">
      <c r="A19" s="8">
        <v>130</v>
      </c>
      <c r="B19">
        <v>9162.7199999999993</v>
      </c>
      <c r="C19">
        <f t="shared" si="3"/>
        <v>9087.4000102494101</v>
      </c>
      <c r="D19" s="1">
        <f t="shared" si="4"/>
        <v>0.82202653524924074</v>
      </c>
      <c r="E19" s="10">
        <f t="shared" si="5"/>
        <v>-0.82202653524924285</v>
      </c>
    </row>
    <row r="20" spans="1:5" x14ac:dyDescent="0.35">
      <c r="A20" s="8">
        <v>120</v>
      </c>
      <c r="B20">
        <v>7844.64</v>
      </c>
      <c r="C20">
        <f t="shared" si="3"/>
        <v>7796.5787506899005</v>
      </c>
      <c r="D20" s="1">
        <f t="shared" si="4"/>
        <v>0.61266354236905463</v>
      </c>
      <c r="E20" s="10">
        <f t="shared" si="5"/>
        <v>-0.61266354236905185</v>
      </c>
    </row>
    <row r="21" spans="1:5" x14ac:dyDescent="0.35">
      <c r="A21" s="8">
        <v>110</v>
      </c>
      <c r="B21">
        <v>6649.03</v>
      </c>
      <c r="C21">
        <f t="shared" si="3"/>
        <v>6635.854367605375</v>
      </c>
      <c r="D21" s="1">
        <f t="shared" si="4"/>
        <v>0.19815871479937222</v>
      </c>
      <c r="E21" s="10">
        <f t="shared" si="5"/>
        <v>-0.19815871479936797</v>
      </c>
    </row>
    <row r="22" spans="1:5" x14ac:dyDescent="0.35">
      <c r="A22" s="8">
        <v>100</v>
      </c>
      <c r="B22">
        <v>5570.85</v>
      </c>
      <c r="C22">
        <f t="shared" si="3"/>
        <v>5597.0371170968801</v>
      </c>
      <c r="D22" s="1">
        <f t="shared" si="4"/>
        <v>0.47007399403824862</v>
      </c>
      <c r="E22" s="10">
        <f t="shared" si="5"/>
        <v>0.47007399403824479</v>
      </c>
    </row>
    <row r="23" spans="1:5" x14ac:dyDescent="0.35">
      <c r="A23" s="8">
        <v>90</v>
      </c>
      <c r="B23">
        <v>4604.57</v>
      </c>
      <c r="C23">
        <f t="shared" si="3"/>
        <v>4670.2833544042596</v>
      </c>
      <c r="D23" s="1">
        <f t="shared" si="4"/>
        <v>1.4271333567360236</v>
      </c>
      <c r="E23" s="10">
        <f t="shared" si="5"/>
        <v>1.4271333567360323</v>
      </c>
    </row>
    <row r="24" spans="1:5" x14ac:dyDescent="0.35">
      <c r="A24" s="8">
        <v>80</v>
      </c>
      <c r="B24">
        <v>3744.16</v>
      </c>
      <c r="C24">
        <f t="shared" si="3"/>
        <v>3844.3386128614311</v>
      </c>
      <c r="D24" s="1">
        <f t="shared" si="4"/>
        <v>2.6755964718770366</v>
      </c>
      <c r="E24" s="10">
        <f t="shared" si="5"/>
        <v>2.6755964718770286</v>
      </c>
    </row>
    <row r="25" spans="1:5" x14ac:dyDescent="0.35">
      <c r="A25" s="8">
        <v>70</v>
      </c>
      <c r="B25">
        <v>2983.09</v>
      </c>
      <c r="C25">
        <f t="shared" si="3"/>
        <v>3107.1750459890909</v>
      </c>
      <c r="D25" s="1">
        <f t="shared" si="4"/>
        <v>4.1596145603750054</v>
      </c>
      <c r="E25" s="10">
        <f t="shared" si="5"/>
        <v>4.1596145603750134</v>
      </c>
    </row>
    <row r="26" spans="1:5" x14ac:dyDescent="0.35">
      <c r="A26" s="8">
        <v>60</v>
      </c>
      <c r="B26">
        <v>2314.4</v>
      </c>
      <c r="C26">
        <f t="shared" si="3"/>
        <v>2447.1923336825921</v>
      </c>
      <c r="D26" s="1">
        <f t="shared" si="4"/>
        <v>5.737657003222953</v>
      </c>
      <c r="E26" s="10">
        <f t="shared" si="5"/>
        <v>5.7376570032229512</v>
      </c>
    </row>
    <row r="27" spans="1:5" x14ac:dyDescent="0.35">
      <c r="A27" s="8">
        <v>50</v>
      </c>
      <c r="B27">
        <v>1730.87</v>
      </c>
      <c r="C27">
        <f t="shared" si="3"/>
        <v>1855.0537243063277</v>
      </c>
      <c r="D27" s="1">
        <f t="shared" si="4"/>
        <v>7.1746419029925885</v>
      </c>
      <c r="E27" s="10">
        <f t="shared" si="5"/>
        <v>7.1746419029925956</v>
      </c>
    </row>
    <row r="28" spans="1:5" x14ac:dyDescent="0.35">
      <c r="A28" s="8">
        <v>40</v>
      </c>
      <c r="B28">
        <v>1225.44</v>
      </c>
      <c r="C28">
        <f t="shared" si="3"/>
        <v>1325.8889584832416</v>
      </c>
      <c r="D28" s="1">
        <f t="shared" si="4"/>
        <v>8.196970760154846</v>
      </c>
      <c r="E28" s="10">
        <f t="shared" si="5"/>
        <v>8.1969707601548425</v>
      </c>
    </row>
    <row r="29" spans="1:5" x14ac:dyDescent="0.35">
      <c r="A29" s="8">
        <v>30</v>
      </c>
      <c r="B29">
        <v>792.54300000000001</v>
      </c>
      <c r="C29">
        <f t="shared" si="3"/>
        <v>861.04214578311348</v>
      </c>
      <c r="D29" s="1">
        <f t="shared" si="4"/>
        <v>8.6429563800466944</v>
      </c>
      <c r="E29" s="10">
        <f t="shared" si="5"/>
        <v>8.6429563800466838</v>
      </c>
    </row>
    <row r="30" spans="1:5" x14ac:dyDescent="0.35">
      <c r="A30" s="8">
        <v>20</v>
      </c>
      <c r="B30">
        <v>431.553</v>
      </c>
      <c r="C30">
        <f t="shared" si="3"/>
        <v>468.68890619416874</v>
      </c>
      <c r="D30" s="1">
        <f t="shared" si="4"/>
        <v>8.6051785514568859</v>
      </c>
      <c r="E30" s="10">
        <f t="shared" si="5"/>
        <v>8.6051785514568824</v>
      </c>
    </row>
    <row r="31" spans="1:5" x14ac:dyDescent="0.35">
      <c r="A31" s="8">
        <v>10</v>
      </c>
      <c r="B31">
        <v>153.249</v>
      </c>
      <c r="C31">
        <f t="shared" si="3"/>
        <v>165.70655044633196</v>
      </c>
      <c r="D31" s="1">
        <f t="shared" si="4"/>
        <v>8.1289603497131893</v>
      </c>
      <c r="E31" s="10">
        <f t="shared" si="5"/>
        <v>8.1289603497131999</v>
      </c>
    </row>
  </sheetData>
  <conditionalFormatting sqref="D2:D3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3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8982-4229-4C5F-8D77-AB8F8704312D}">
  <dimension ref="A1:I10"/>
  <sheetViews>
    <sheetView workbookViewId="0">
      <selection activeCell="C1" sqref="C1:I8"/>
    </sheetView>
  </sheetViews>
  <sheetFormatPr defaultRowHeight="14.5" x14ac:dyDescent="0.35"/>
  <cols>
    <col min="1" max="1" width="16.4531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11085.3541</v>
      </c>
      <c r="C2">
        <f>$F$2*A2^$G$2*($H$2+EXP($I$2/A2))</f>
        <v>11085.19209</v>
      </c>
      <c r="D2">
        <f>ABS(B2-C2)/B2*100</f>
        <v>1.4614778972194429E-3</v>
      </c>
      <c r="E2" s="10">
        <f>((C2/B2)-1)*100</f>
        <v>-1.4614778972243947E-3</v>
      </c>
      <c r="F2" s="11">
        <v>36.950640300000003</v>
      </c>
      <c r="G2">
        <v>1</v>
      </c>
      <c r="H2">
        <v>0</v>
      </c>
      <c r="I2" s="11">
        <v>0</v>
      </c>
    </row>
    <row r="3" spans="1:9" x14ac:dyDescent="0.35">
      <c r="A3" s="8">
        <v>225</v>
      </c>
      <c r="B3">
        <v>8313.7692999999999</v>
      </c>
      <c r="C3">
        <f t="shared" ref="C3:C8" si="0">$F$2*A3^$G$2*($H$2+EXP($I$2/A3))</f>
        <v>8313.8940675000013</v>
      </c>
      <c r="D3">
        <f t="shared" ref="D3:D8" si="1">ABS(B3-C3)/B3*100</f>
        <v>1.5007332474492163E-3</v>
      </c>
      <c r="E3" s="10">
        <f t="shared" ref="E3:E8" si="2">((C3/B3)-1)*100</f>
        <v>1.5007332474503698E-3</v>
      </c>
    </row>
    <row r="4" spans="1:9" x14ac:dyDescent="0.35">
      <c r="A4" s="8">
        <v>150</v>
      </c>
      <c r="B4">
        <v>5542.4041999999999</v>
      </c>
      <c r="C4">
        <f t="shared" si="0"/>
        <v>5542.5960450000002</v>
      </c>
      <c r="D4">
        <f t="shared" si="1"/>
        <v>3.4614039878268876E-3</v>
      </c>
      <c r="E4" s="10">
        <f t="shared" si="2"/>
        <v>3.4614039878366754E-3</v>
      </c>
    </row>
    <row r="5" spans="1:9" x14ac:dyDescent="0.35">
      <c r="A5" s="9">
        <v>75</v>
      </c>
      <c r="B5">
        <v>2771.2588000000001</v>
      </c>
      <c r="C5">
        <f>$F$2*A5^$G$2*($H$2+EXP($I$2/A5))</f>
        <v>2771.2980225000001</v>
      </c>
      <c r="D5" s="1">
        <f t="shared" si="1"/>
        <v>1.4153315453630958E-3</v>
      </c>
      <c r="E5" s="10">
        <f t="shared" si="2"/>
        <v>1.4153315453624415E-3</v>
      </c>
    </row>
    <row r="6" spans="1:9" x14ac:dyDescent="0.35">
      <c r="A6" s="9">
        <v>37.5</v>
      </c>
      <c r="B6">
        <v>1385.7686000000001</v>
      </c>
      <c r="C6">
        <f t="shared" si="0"/>
        <v>1385.6490112500001</v>
      </c>
      <c r="D6" s="1">
        <f t="shared" si="1"/>
        <v>8.6297777276847006E-3</v>
      </c>
      <c r="E6" s="10">
        <f t="shared" si="2"/>
        <v>-8.6297777276866938E-3</v>
      </c>
    </row>
    <row r="7" spans="1:9" x14ac:dyDescent="0.35">
      <c r="A7">
        <v>18.75</v>
      </c>
      <c r="B7">
        <v>693.04420000000005</v>
      </c>
      <c r="C7">
        <f t="shared" si="0"/>
        <v>692.82450562500003</v>
      </c>
      <c r="D7" s="1">
        <f t="shared" si="1"/>
        <v>3.1699908173247436E-2</v>
      </c>
      <c r="E7" s="10">
        <f t="shared" si="2"/>
        <v>-3.1699908173243863E-2</v>
      </c>
    </row>
    <row r="8" spans="1:9" x14ac:dyDescent="0.35">
      <c r="A8">
        <v>9.375</v>
      </c>
      <c r="B8">
        <v>346.68720000000002</v>
      </c>
      <c r="C8">
        <f t="shared" si="0"/>
        <v>346.41225281250001</v>
      </c>
      <c r="D8" s="1">
        <f t="shared" si="1"/>
        <v>7.9306991287824882E-2</v>
      </c>
      <c r="E8" s="10">
        <f t="shared" si="2"/>
        <v>-7.9306991287819706E-2</v>
      </c>
    </row>
    <row r="9" spans="1:9" x14ac:dyDescent="0.35">
      <c r="D9" s="1"/>
      <c r="E9" s="10"/>
    </row>
    <row r="10" spans="1:9" x14ac:dyDescent="0.35">
      <c r="D10" s="1"/>
      <c r="E10" s="10"/>
    </row>
  </sheetData>
  <conditionalFormatting sqref="D2:D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702F-C2D1-4D3F-9438-75D030112494}">
  <dimension ref="A1:I10"/>
  <sheetViews>
    <sheetView workbookViewId="0">
      <selection activeCell="C1" sqref="C1:I10"/>
    </sheetView>
  </sheetViews>
  <sheetFormatPr defaultRowHeight="14.5" x14ac:dyDescent="0.35"/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327246.31390000001</v>
      </c>
      <c r="C2">
        <f>$F$2*A2^$G$2*($H$2+EXP($I$2/A2))</f>
        <v>327135.20730682591</v>
      </c>
      <c r="D2">
        <f>ABS(B2-C2)/B2*100</f>
        <v>3.3951976983323688E-2</v>
      </c>
      <c r="E2" s="10">
        <f>((C2/B2)-1)*100</f>
        <v>-3.3951976983326304E-2</v>
      </c>
      <c r="F2" s="11">
        <v>62.9572</v>
      </c>
      <c r="G2">
        <v>1.5</v>
      </c>
      <c r="H2">
        <v>0</v>
      </c>
      <c r="I2" s="11">
        <v>0</v>
      </c>
    </row>
    <row r="3" spans="1:9" x14ac:dyDescent="0.35">
      <c r="A3" s="8">
        <v>225</v>
      </c>
      <c r="B3">
        <v>212390.6697</v>
      </c>
      <c r="C3">
        <f t="shared" ref="C3:C8" si="0">$F$2*A3^$G$2*($H$2+EXP($I$2/A3))</f>
        <v>212480.5499999999</v>
      </c>
      <c r="D3">
        <f t="shared" ref="D3:D8" si="1">ABS(B3-C3)/B3*100</f>
        <v>4.2318384384237615E-2</v>
      </c>
      <c r="E3" s="10">
        <f t="shared" ref="E3:E8" si="2">((C3/B3)-1)*100</f>
        <v>4.2318384384243402E-2</v>
      </c>
    </row>
    <row r="4" spans="1:9" x14ac:dyDescent="0.35">
      <c r="A4" s="8">
        <v>150</v>
      </c>
      <c r="B4">
        <v>115532.1305</v>
      </c>
      <c r="C4">
        <f t="shared" si="0"/>
        <v>115659.76172576178</v>
      </c>
      <c r="D4">
        <f t="shared" si="1"/>
        <v>0.11047249385034308</v>
      </c>
      <c r="E4" s="10">
        <f t="shared" si="2"/>
        <v>0.1104724938503443</v>
      </c>
    </row>
    <row r="5" spans="1:9" x14ac:dyDescent="0.35">
      <c r="A5" s="9">
        <v>75</v>
      </c>
      <c r="B5">
        <v>40832.5605</v>
      </c>
      <c r="C5">
        <f>$F$2*A5^$G$2*($H$2+EXP($I$2/A5))</f>
        <v>40891.900913353224</v>
      </c>
      <c r="D5" s="1">
        <f t="shared" si="1"/>
        <v>0.14532621179419788</v>
      </c>
      <c r="E5" s="10">
        <f t="shared" si="2"/>
        <v>0.14532621179419447</v>
      </c>
    </row>
    <row r="6" spans="1:9" x14ac:dyDescent="0.35">
      <c r="A6" s="9">
        <v>37.5</v>
      </c>
      <c r="B6">
        <v>14444.852199999999</v>
      </c>
      <c r="C6">
        <f t="shared" si="0"/>
        <v>14457.470215720232</v>
      </c>
      <c r="D6" s="1">
        <f t="shared" si="1"/>
        <v>8.7353027538990727E-2</v>
      </c>
      <c r="E6" s="10">
        <f t="shared" si="2"/>
        <v>8.7353027538994432E-2</v>
      </c>
    </row>
    <row r="7" spans="1:9" x14ac:dyDescent="0.35">
      <c r="A7">
        <v>18.75</v>
      </c>
      <c r="B7">
        <v>5116.2157999999999</v>
      </c>
      <c r="C7">
        <f t="shared" si="0"/>
        <v>5111.4876141691566</v>
      </c>
      <c r="D7" s="1">
        <f t="shared" si="1"/>
        <v>9.2415684085166191E-2</v>
      </c>
      <c r="E7" s="10">
        <f t="shared" si="2"/>
        <v>-9.2415684085167538E-2</v>
      </c>
    </row>
    <row r="8" spans="1:9" x14ac:dyDescent="0.35">
      <c r="A8">
        <v>9.375</v>
      </c>
      <c r="B8">
        <v>1815.9568999999999</v>
      </c>
      <c r="C8">
        <f t="shared" si="0"/>
        <v>1807.1837769650285</v>
      </c>
      <c r="D8" s="1">
        <f t="shared" si="1"/>
        <v>0.48311295466160997</v>
      </c>
      <c r="E8" s="10">
        <f t="shared" si="2"/>
        <v>-0.48311295466161308</v>
      </c>
    </row>
    <row r="9" spans="1:9" x14ac:dyDescent="0.35">
      <c r="A9" s="10">
        <v>5</v>
      </c>
      <c r="B9">
        <v>712.27089999999998</v>
      </c>
      <c r="C9">
        <f t="shared" ref="C9:C10" si="3">$F$2*A9^$G$2*($H$2+EXP($I$2/A9))</f>
        <v>703.8828943652486</v>
      </c>
      <c r="D9" s="1">
        <f t="shared" ref="D9:D10" si="4">ABS(B9-C9)/B9*100</f>
        <v>1.1776426124879424</v>
      </c>
      <c r="E9" s="10">
        <f t="shared" ref="E9:E10" si="5">((C9/B9)-1)*100</f>
        <v>-1.1776426124879391</v>
      </c>
    </row>
    <row r="10" spans="1:9" x14ac:dyDescent="0.35">
      <c r="A10">
        <v>2.7250000000000001</v>
      </c>
      <c r="B10">
        <v>290.21629999999999</v>
      </c>
      <c r="C10">
        <f t="shared" si="3"/>
        <v>283.20124913915907</v>
      </c>
      <c r="D10" s="1">
        <f t="shared" si="4"/>
        <v>2.417180172457893</v>
      </c>
      <c r="E10" s="10">
        <f t="shared" si="5"/>
        <v>-2.417180172457889</v>
      </c>
    </row>
  </sheetData>
  <conditionalFormatting sqref="D2:D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3B29-ABCC-4498-ACED-C6289DC947C1}">
  <dimension ref="A1:J10"/>
  <sheetViews>
    <sheetView workbookViewId="0">
      <selection activeCell="J6" sqref="J6"/>
    </sheetView>
  </sheetViews>
  <sheetFormatPr defaultRowHeight="14.5" x14ac:dyDescent="0.35"/>
  <cols>
    <col min="4" max="4" width="11.81640625" bestFit="1" customWidth="1"/>
  </cols>
  <sheetData>
    <row r="1" spans="1:10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10" x14ac:dyDescent="0.35">
      <c r="A2" s="8">
        <v>300</v>
      </c>
      <c r="B2">
        <v>38749.147499999999</v>
      </c>
      <c r="C2">
        <f>$F$2*A2^$G$2*($H$2+EXP($I$2/A2))</f>
        <v>38068.747467318812</v>
      </c>
      <c r="D2">
        <f>ABS(B2-C2)/B2*100</f>
        <v>1.7559096820934901</v>
      </c>
      <c r="E2" s="10">
        <f>((C2/B2)-1)*100</f>
        <v>-1.7559096820934927</v>
      </c>
      <c r="F2">
        <v>10.29</v>
      </c>
      <c r="G2">
        <v>1.825</v>
      </c>
      <c r="H2">
        <v>-0.88859999999999995</v>
      </c>
      <c r="I2">
        <v>4.0169999999999997E-2</v>
      </c>
      <c r="J2" t="s">
        <v>28</v>
      </c>
    </row>
    <row r="3" spans="1:10" x14ac:dyDescent="0.35">
      <c r="A3" s="8">
        <v>225</v>
      </c>
      <c r="B3">
        <v>21965.618999999999</v>
      </c>
      <c r="C3">
        <f t="shared" ref="C3:C8" si="0">$F$2*A3^$G$2*($H$2+EXP($I$2/A3))</f>
        <v>22528.339422275872</v>
      </c>
      <c r="D3">
        <f t="shared" ref="D3:D8" si="1">ABS(B3-C3)/B3*100</f>
        <v>2.561823649385313</v>
      </c>
      <c r="E3" s="10">
        <f t="shared" ref="E3:E8" si="2">((C3/B3)-1)*100</f>
        <v>2.5618236493853086</v>
      </c>
    </row>
    <row r="4" spans="1:10" x14ac:dyDescent="0.35">
      <c r="A4" s="8">
        <v>150</v>
      </c>
      <c r="B4">
        <v>10200.101699999999</v>
      </c>
      <c r="C4">
        <f t="shared" si="0"/>
        <v>10757.466989386645</v>
      </c>
      <c r="D4">
        <f t="shared" si="1"/>
        <v>5.46431109982605</v>
      </c>
      <c r="E4" s="10">
        <f t="shared" si="2"/>
        <v>5.464311099826058</v>
      </c>
    </row>
    <row r="5" spans="1:10" x14ac:dyDescent="0.35">
      <c r="A5" s="9">
        <v>75</v>
      </c>
      <c r="B5">
        <v>3060.7105000000001</v>
      </c>
      <c r="C5">
        <f>$F$2*A5^$G$2*($H$2+EXP($I$2/A5))</f>
        <v>3043.4836189393054</v>
      </c>
      <c r="D5" s="1">
        <f t="shared" si="1"/>
        <v>0.56283928390792659</v>
      </c>
      <c r="E5" s="10">
        <f t="shared" si="2"/>
        <v>-0.56283928390792326</v>
      </c>
    </row>
    <row r="6" spans="1:10" x14ac:dyDescent="0.35">
      <c r="A6" s="9">
        <v>37.5</v>
      </c>
      <c r="B6">
        <v>965.60310000000004</v>
      </c>
      <c r="C6">
        <f t="shared" si="0"/>
        <v>863.10967209948603</v>
      </c>
      <c r="D6" s="1">
        <f t="shared" si="1"/>
        <v>10.614446857152178</v>
      </c>
      <c r="E6" s="10">
        <f t="shared" si="2"/>
        <v>-10.614446857152181</v>
      </c>
    </row>
    <row r="7" spans="1:10" x14ac:dyDescent="0.35">
      <c r="A7">
        <v>18.75</v>
      </c>
      <c r="B7">
        <v>289.05709999999999</v>
      </c>
      <c r="C7">
        <f t="shared" si="0"/>
        <v>245.92889043679887</v>
      </c>
      <c r="D7" s="1">
        <f t="shared" si="1"/>
        <v>14.920307981779768</v>
      </c>
      <c r="E7" s="10">
        <f t="shared" si="2"/>
        <v>-14.920307981779768</v>
      </c>
    </row>
    <row r="8" spans="1:10" x14ac:dyDescent="0.35">
      <c r="A8">
        <v>9.375</v>
      </c>
      <c r="B8">
        <v>82.265900000000002</v>
      </c>
      <c r="C8">
        <f t="shared" si="0"/>
        <v>70.725131575471451</v>
      </c>
      <c r="D8" s="1">
        <f t="shared" si="1"/>
        <v>14.028617476413134</v>
      </c>
      <c r="E8" s="10">
        <f t="shared" si="2"/>
        <v>-14.02861747641313</v>
      </c>
    </row>
    <row r="9" spans="1:10" x14ac:dyDescent="0.35">
      <c r="D9" s="1"/>
      <c r="E9" s="10"/>
    </row>
    <row r="10" spans="1:10" x14ac:dyDescent="0.35">
      <c r="D10" s="1"/>
      <c r="E10" s="10"/>
    </row>
  </sheetData>
  <conditionalFormatting sqref="D2:D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46AA-F499-4022-9E4A-3425AC6CEC7C}">
  <dimension ref="A1:I9"/>
  <sheetViews>
    <sheetView workbookViewId="0">
      <selection activeCell="C1" sqref="C1:I9"/>
    </sheetView>
  </sheetViews>
  <sheetFormatPr defaultRowHeight="14.5" x14ac:dyDescent="0.35"/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500</v>
      </c>
      <c r="B2">
        <v>2469.5018</v>
      </c>
      <c r="C2">
        <f>$F$2*A2^$G$2*($H$2+EXP($I$2/A2))</f>
        <v>2469.3161824785843</v>
      </c>
      <c r="D2">
        <f>ABS(B2-C2)/B2*100</f>
        <v>7.5163954695509523E-3</v>
      </c>
      <c r="E2" s="10">
        <f>((C2/B2)-1)*100</f>
        <v>-7.5163954695534052E-3</v>
      </c>
      <c r="F2">
        <v>2.4691200000000002</v>
      </c>
      <c r="G2">
        <v>1</v>
      </c>
      <c r="H2">
        <v>1</v>
      </c>
      <c r="I2">
        <v>7.9448099999999994E-2</v>
      </c>
    </row>
    <row r="3" spans="1:9" x14ac:dyDescent="0.35">
      <c r="A3" s="8">
        <v>300</v>
      </c>
      <c r="B3">
        <v>1481.5213000000001</v>
      </c>
      <c r="C3">
        <f t="shared" ref="C3:C8" si="0">$F$2*A3^$G$2*($H$2+EXP($I$2/A3))</f>
        <v>1481.66819287011</v>
      </c>
      <c r="D3">
        <f t="shared" ref="D3:D8" si="1">ABS(B3-C3)/B3*100</f>
        <v>9.9150022419470449E-3</v>
      </c>
      <c r="E3" s="10">
        <f t="shared" ref="E3:E8" si="2">((C3/B3)-1)*100</f>
        <v>9.9150022419447481E-3</v>
      </c>
    </row>
    <row r="4" spans="1:9" x14ac:dyDescent="0.35">
      <c r="A4" s="8">
        <v>225</v>
      </c>
      <c r="B4">
        <v>1111.1361999999999</v>
      </c>
      <c r="C4">
        <f t="shared" si="0"/>
        <v>1111.3002015302754</v>
      </c>
      <c r="D4">
        <f t="shared" si="1"/>
        <v>1.4759804448413015E-2</v>
      </c>
      <c r="E4" s="10">
        <f t="shared" si="2"/>
        <v>1.4759804448405411E-2</v>
      </c>
    </row>
    <row r="5" spans="1:9" x14ac:dyDescent="0.35">
      <c r="A5" s="8">
        <v>150</v>
      </c>
      <c r="B5">
        <v>740.80989999999997</v>
      </c>
      <c r="C5">
        <f>$F$2*A5^$G$2*($H$2+EXP($I$2/A5))</f>
        <v>740.93221885213495</v>
      </c>
      <c r="D5" s="1">
        <f t="shared" si="1"/>
        <v>1.6511503441703625E-2</v>
      </c>
      <c r="E5" s="10">
        <f t="shared" si="2"/>
        <v>1.6511503441707376E-2</v>
      </c>
    </row>
    <row r="6" spans="1:9" x14ac:dyDescent="0.35">
      <c r="A6" s="9">
        <v>75</v>
      </c>
      <c r="B6">
        <v>370.54239999999999</v>
      </c>
      <c r="C6">
        <f t="shared" si="0"/>
        <v>370.56427082994873</v>
      </c>
      <c r="D6" s="1">
        <f t="shared" si="1"/>
        <v>5.9023825475138349E-3</v>
      </c>
      <c r="E6" s="10">
        <f t="shared" si="2"/>
        <v>5.9023825475179592E-3</v>
      </c>
    </row>
    <row r="7" spans="1:9" x14ac:dyDescent="0.35">
      <c r="A7" s="9">
        <v>37.5</v>
      </c>
      <c r="B7">
        <v>185.4308</v>
      </c>
      <c r="C7">
        <f t="shared" si="0"/>
        <v>185.38037484065882</v>
      </c>
      <c r="D7" s="1">
        <f t="shared" si="1"/>
        <v>2.7193518736470943E-2</v>
      </c>
      <c r="E7" s="10">
        <f t="shared" si="2"/>
        <v>-2.7193518736468025E-2</v>
      </c>
    </row>
    <row r="8" spans="1:9" x14ac:dyDescent="0.35">
      <c r="A8">
        <v>18.75</v>
      </c>
      <c r="B8">
        <v>92.880799999999994</v>
      </c>
      <c r="C8">
        <f t="shared" si="0"/>
        <v>92.788583082612973</v>
      </c>
      <c r="D8" s="1">
        <f t="shared" si="1"/>
        <v>9.9285231594710852E-2</v>
      </c>
      <c r="E8" s="10">
        <f t="shared" si="2"/>
        <v>-9.9285231594714585E-2</v>
      </c>
    </row>
    <row r="9" spans="1:9" x14ac:dyDescent="0.35">
      <c r="A9">
        <v>9.375</v>
      </c>
      <c r="B9">
        <v>46.607700000000001</v>
      </c>
      <c r="C9">
        <f t="shared" ref="C9" si="3">$F$2*A9^$G$2*($H$2+EXP($I$2/A9))</f>
        <v>46.493000450294524</v>
      </c>
      <c r="D9" s="1">
        <f t="shared" ref="D9" si="4">ABS(B9-C9)/B9*100</f>
        <v>0.24609570887530913</v>
      </c>
      <c r="E9" s="10">
        <f t="shared" ref="E9" si="5">((C9/B9)-1)*100</f>
        <v>-0.24609570887530463</v>
      </c>
    </row>
  </sheetData>
  <conditionalFormatting sqref="D2:D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F127-096A-4108-BF1A-0ACC66614B77}">
  <dimension ref="A1:I9"/>
  <sheetViews>
    <sheetView workbookViewId="0">
      <selection activeCell="A2" sqref="A2:A8"/>
    </sheetView>
  </sheetViews>
  <sheetFormatPr defaultRowHeight="14.5" x14ac:dyDescent="0.35"/>
  <cols>
    <col min="1" max="1" width="11.816406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514.44979999999998</v>
      </c>
      <c r="C2">
        <f>$F$2*A2^$G$2*($H$2+EXP($I$2/A2))</f>
        <v>527.55999887818712</v>
      </c>
      <c r="D2">
        <f>ABS(B2-C2)/B2*100</f>
        <v>2.5483922587173975</v>
      </c>
      <c r="E2" s="10">
        <f>((C2/B2)-1)*100</f>
        <v>2.5483922587173913</v>
      </c>
      <c r="F2">
        <v>0.101528969122</v>
      </c>
      <c r="G2">
        <v>1.5</v>
      </c>
      <c r="H2">
        <v>0</v>
      </c>
      <c r="I2">
        <v>0</v>
      </c>
    </row>
    <row r="3" spans="1:9" x14ac:dyDescent="0.35">
      <c r="A3" s="8">
        <v>225</v>
      </c>
      <c r="B3">
        <v>334.5222</v>
      </c>
      <c r="C3">
        <f t="shared" ref="C3:C8" si="0">$F$2*A3^$G$2*($H$2+EXP($I$2/A3))</f>
        <v>342.66027078674989</v>
      </c>
      <c r="D3">
        <f t="shared" ref="D3:D8" si="1">ABS(B3-C3)/B3*100</f>
        <v>2.4327446091021439</v>
      </c>
      <c r="E3" s="10">
        <f t="shared" ref="E3:E8" si="2">((C3/B3)-1)*100</f>
        <v>2.4327446091021443</v>
      </c>
    </row>
    <row r="4" spans="1:9" x14ac:dyDescent="0.35">
      <c r="A4" s="8">
        <v>150</v>
      </c>
      <c r="B4">
        <v>182.76220000000001</v>
      </c>
      <c r="C4">
        <f t="shared" si="0"/>
        <v>186.5206263447667</v>
      </c>
      <c r="D4">
        <f t="shared" si="1"/>
        <v>2.0564571584095015</v>
      </c>
      <c r="E4" s="10">
        <f t="shared" si="2"/>
        <v>2.0564571584094971</v>
      </c>
    </row>
    <row r="5" spans="1:9" x14ac:dyDescent="0.35">
      <c r="A5" s="9">
        <v>75</v>
      </c>
      <c r="B5">
        <v>65.526499999999999</v>
      </c>
      <c r="C5">
        <f>$F$2*A5^$G$2*($H$2+EXP($I$2/A5))</f>
        <v>65.944999859773361</v>
      </c>
      <c r="D5" s="1">
        <f t="shared" si="1"/>
        <v>0.63867268932929799</v>
      </c>
      <c r="E5" s="10">
        <f t="shared" si="2"/>
        <v>0.63867268932928933</v>
      </c>
    </row>
    <row r="6" spans="1:9" x14ac:dyDescent="0.35">
      <c r="A6" s="9">
        <v>37.5</v>
      </c>
      <c r="B6">
        <v>23.865300000000001</v>
      </c>
      <c r="C6">
        <f t="shared" si="0"/>
        <v>23.315078293095851</v>
      </c>
      <c r="D6" s="1">
        <f t="shared" si="1"/>
        <v>2.3055302338715622</v>
      </c>
      <c r="E6" s="10">
        <f t="shared" si="2"/>
        <v>-2.3055302338715666</v>
      </c>
    </row>
    <row r="7" spans="1:9" x14ac:dyDescent="0.35">
      <c r="A7">
        <v>18.75</v>
      </c>
      <c r="B7">
        <v>8.6996000000000002</v>
      </c>
      <c r="C7">
        <f t="shared" si="0"/>
        <v>8.2431249824716755</v>
      </c>
      <c r="D7" s="1">
        <f t="shared" si="1"/>
        <v>5.2470805270164691</v>
      </c>
      <c r="E7" s="10">
        <f t="shared" si="2"/>
        <v>-5.2470805270164682</v>
      </c>
    </row>
    <row r="8" spans="1:9" x14ac:dyDescent="0.35">
      <c r="A8">
        <v>9.375</v>
      </c>
      <c r="B8">
        <v>2.9106000000000001</v>
      </c>
      <c r="C8">
        <f t="shared" si="0"/>
        <v>2.9143847866369805</v>
      </c>
      <c r="D8" s="1">
        <f t="shared" si="1"/>
        <v>0.13003458520512789</v>
      </c>
      <c r="E8" s="10">
        <f t="shared" si="2"/>
        <v>0.13003458520512989</v>
      </c>
    </row>
    <row r="9" spans="1:9" x14ac:dyDescent="0.35">
      <c r="D9" s="1"/>
      <c r="E9" s="10"/>
    </row>
  </sheetData>
  <conditionalFormatting sqref="D2:D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F0A2-0A63-4B05-B2A6-24DE1415D28A}">
  <dimension ref="A1:I15"/>
  <sheetViews>
    <sheetView workbookViewId="0">
      <selection activeCell="C1" sqref="C1:I10"/>
    </sheetView>
  </sheetViews>
  <sheetFormatPr defaultRowHeight="14.5" x14ac:dyDescent="0.35"/>
  <cols>
    <col min="1" max="1" width="15.4531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500</v>
      </c>
      <c r="B2">
        <v>80525</v>
      </c>
      <c r="C2">
        <f>$F$2*A2^$G$2*($H$2+EXP($I$2/A2))</f>
        <v>80504.037359936206</v>
      </c>
      <c r="D2">
        <f>ABS(B2-C2)/B2*100</f>
        <v>2.6032462047554814E-2</v>
      </c>
      <c r="E2" s="10">
        <f>((C2/B2)-1)*100</f>
        <v>-2.6032462047553828E-2</v>
      </c>
      <c r="F2">
        <v>7.2004999999999999</v>
      </c>
      <c r="G2">
        <v>1.5</v>
      </c>
      <c r="H2">
        <v>0</v>
      </c>
      <c r="I2">
        <v>0</v>
      </c>
    </row>
    <row r="3" spans="1:9" x14ac:dyDescent="0.35">
      <c r="A3" s="8">
        <v>300</v>
      </c>
      <c r="B3">
        <v>37424.576300000001</v>
      </c>
      <c r="C3">
        <f t="shared" ref="C3:C8" si="0">$F$2*A3^$G$2*($H$2+EXP($I$2/A3))</f>
        <v>37414.895519699094</v>
      </c>
      <c r="D3">
        <f t="shared" ref="D3:D8" si="1">ABS(B3-C3)/B3*100</f>
        <v>2.586744128592023E-2</v>
      </c>
      <c r="E3" s="10">
        <f t="shared" ref="E3:E8" si="2">((C3/B3)-1)*100</f>
        <v>-2.5867441285920556E-2</v>
      </c>
    </row>
    <row r="4" spans="1:9" x14ac:dyDescent="0.35">
      <c r="A4" s="8">
        <v>225</v>
      </c>
      <c r="B4">
        <v>24286.932400000002</v>
      </c>
      <c r="C4">
        <f t="shared" si="0"/>
        <v>24301.687499999989</v>
      </c>
      <c r="D4">
        <f t="shared" si="1"/>
        <v>6.0753246877681341E-2</v>
      </c>
      <c r="E4" s="10">
        <f t="shared" si="2"/>
        <v>6.0753246877687239E-2</v>
      </c>
    </row>
    <row r="5" spans="1:9" x14ac:dyDescent="0.35">
      <c r="A5" s="8">
        <v>200</v>
      </c>
      <c r="B5">
        <v>20348.072100000001</v>
      </c>
      <c r="C5">
        <f>$F$2*A5^$G$2*($H$2+EXP($I$2/A5))</f>
        <v>20366.089511734921</v>
      </c>
      <c r="D5" s="1">
        <f t="shared" si="1"/>
        <v>8.8546038398004956E-2</v>
      </c>
      <c r="E5" s="10">
        <f t="shared" si="2"/>
        <v>8.8546038398007454E-2</v>
      </c>
    </row>
    <row r="6" spans="1:9" x14ac:dyDescent="0.35">
      <c r="A6" s="8">
        <v>180</v>
      </c>
      <c r="B6">
        <v>17369.749800000001</v>
      </c>
      <c r="C6">
        <f t="shared" si="0"/>
        <v>17388.872069746216</v>
      </c>
      <c r="D6" s="1">
        <f t="shared" si="1"/>
        <v>0.11008949447397591</v>
      </c>
      <c r="E6" s="10">
        <f t="shared" si="2"/>
        <v>0.11008949447397498</v>
      </c>
    </row>
    <row r="7" spans="1:9" x14ac:dyDescent="0.35">
      <c r="A7" s="8">
        <v>160</v>
      </c>
      <c r="B7">
        <v>14553.7567</v>
      </c>
      <c r="C7">
        <f t="shared" si="0"/>
        <v>14572.787386907139</v>
      </c>
      <c r="D7" s="1">
        <f t="shared" si="1"/>
        <v>0.13076133742938803</v>
      </c>
      <c r="E7" s="10">
        <f t="shared" si="2"/>
        <v>0.130761337429397</v>
      </c>
    </row>
    <row r="8" spans="1:9" x14ac:dyDescent="0.35">
      <c r="A8" s="8">
        <v>150</v>
      </c>
      <c r="B8">
        <v>13209.5867</v>
      </c>
      <c r="C8">
        <f t="shared" si="0"/>
        <v>13228.163169682701</v>
      </c>
      <c r="D8" s="1">
        <f t="shared" si="1"/>
        <v>0.14062869720746765</v>
      </c>
      <c r="E8" s="10">
        <f t="shared" si="2"/>
        <v>0.14062869720745663</v>
      </c>
    </row>
    <row r="9" spans="1:9" x14ac:dyDescent="0.35">
      <c r="A9" s="8">
        <v>140</v>
      </c>
      <c r="B9">
        <v>11909.7662</v>
      </c>
      <c r="C9">
        <f t="shared" ref="C9:C15" si="3">$F$2*A9^$G$2*($H$2+EXP($I$2/A9))</f>
        <v>11927.645093898451</v>
      </c>
      <c r="D9" s="1">
        <f t="shared" ref="D9:D15" si="4">ABS(B9-C9)/B9*100</f>
        <v>0.15011960435000621</v>
      </c>
      <c r="E9" s="10">
        <f t="shared" ref="E9:E15" si="5">((C9/B9)-1)*100</f>
        <v>0.15011960435000749</v>
      </c>
    </row>
    <row r="10" spans="1:9" x14ac:dyDescent="0.35">
      <c r="A10" s="8">
        <v>120</v>
      </c>
      <c r="B10">
        <v>9449.4719999999998</v>
      </c>
      <c r="C10">
        <f t="shared" si="3"/>
        <v>9465.3030607582787</v>
      </c>
      <c r="D10" s="1">
        <f t="shared" si="4"/>
        <v>0.16753381308795781</v>
      </c>
      <c r="E10" s="10">
        <f t="shared" si="5"/>
        <v>0.16753381308796111</v>
      </c>
    </row>
    <row r="11" spans="1:9" x14ac:dyDescent="0.35">
      <c r="A11" s="8">
        <v>100</v>
      </c>
      <c r="B11">
        <v>7187.4345999999996</v>
      </c>
      <c r="C11">
        <f t="shared" si="3"/>
        <v>7200.5000000000045</v>
      </c>
      <c r="D11" s="1">
        <f t="shared" si="4"/>
        <v>0.18178113231117202</v>
      </c>
      <c r="E11" s="10">
        <f t="shared" si="5"/>
        <v>0.18178113231117621</v>
      </c>
    </row>
    <row r="12" spans="1:9" x14ac:dyDescent="0.35">
      <c r="A12" s="9">
        <v>75</v>
      </c>
      <c r="B12">
        <v>4667.9360999999999</v>
      </c>
      <c r="C12">
        <f t="shared" si="3"/>
        <v>4676.8619399623858</v>
      </c>
      <c r="D12" s="1">
        <f t="shared" si="4"/>
        <v>0.1912159843487555</v>
      </c>
      <c r="E12" s="10">
        <f t="shared" si="5"/>
        <v>0.19121598434874709</v>
      </c>
    </row>
    <row r="13" spans="1:9" x14ac:dyDescent="0.35">
      <c r="A13" s="9">
        <v>37.5</v>
      </c>
      <c r="B13">
        <v>1651.0572</v>
      </c>
      <c r="C13">
        <f t="shared" si="3"/>
        <v>1653.5203962103385</v>
      </c>
      <c r="D13" s="1">
        <f t="shared" si="4"/>
        <v>0.14918902932851374</v>
      </c>
      <c r="E13" s="10">
        <f t="shared" si="5"/>
        <v>0.14918902932852252</v>
      </c>
    </row>
    <row r="14" spans="1:9" x14ac:dyDescent="0.35">
      <c r="A14">
        <v>18.75</v>
      </c>
      <c r="B14">
        <v>584.64779999999996</v>
      </c>
      <c r="C14">
        <f t="shared" si="3"/>
        <v>584.60774249529857</v>
      </c>
      <c r="D14" s="1">
        <f t="shared" si="4"/>
        <v>6.8515616925941512E-3</v>
      </c>
      <c r="E14" s="10">
        <f t="shared" si="5"/>
        <v>-6.8515616925890477E-3</v>
      </c>
    </row>
    <row r="15" spans="1:9" x14ac:dyDescent="0.35">
      <c r="A15">
        <v>9.375</v>
      </c>
      <c r="B15">
        <v>207.4255</v>
      </c>
      <c r="C15">
        <f t="shared" si="3"/>
        <v>206.69004952629226</v>
      </c>
      <c r="D15" s="1">
        <f t="shared" si="4"/>
        <v>0.35456126354172629</v>
      </c>
      <c r="E15" s="10">
        <f t="shared" si="5"/>
        <v>-0.35456126354173056</v>
      </c>
    </row>
  </sheetData>
  <conditionalFormatting sqref="D2:D1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A243-DEA5-48CD-B2E7-594DB6D684E5}">
  <dimension ref="A1:I10"/>
  <sheetViews>
    <sheetView workbookViewId="0">
      <selection activeCell="C1" sqref="C1:I8"/>
    </sheetView>
  </sheetViews>
  <sheetFormatPr defaultRowHeight="14.5" x14ac:dyDescent="0.35"/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64668.441299999999</v>
      </c>
      <c r="C2">
        <f>$F$2*A2^$G$2*($H$2+EXP($I$2/A2))</f>
        <v>64652.087289042713</v>
      </c>
      <c r="D2">
        <f>ABS(B2-C2)/B2*100</f>
        <v>2.5289013664979019E-2</v>
      </c>
      <c r="E2" s="10">
        <f>((C2/B2)-1)*100</f>
        <v>-2.5289013664975268E-2</v>
      </c>
      <c r="F2">
        <v>12.442299999999999</v>
      </c>
      <c r="G2">
        <v>1.5</v>
      </c>
      <c r="H2">
        <v>0</v>
      </c>
      <c r="I2">
        <v>0</v>
      </c>
    </row>
    <row r="3" spans="1:9" x14ac:dyDescent="0.35">
      <c r="A3" s="8">
        <v>225</v>
      </c>
      <c r="B3">
        <v>41979.851900000001</v>
      </c>
      <c r="C3">
        <f t="shared" ref="C3:C8" si="0">$F$2*A3^$G$2*($H$2+EXP($I$2/A3))</f>
        <v>41992.762499999983</v>
      </c>
      <c r="D3">
        <f t="shared" ref="D3:D8" si="1">ABS(B3-C3)/B3*100</f>
        <v>3.0754277148798276E-2</v>
      </c>
      <c r="E3" s="10">
        <f t="shared" ref="E3:E8" si="2">((C3/B3)-1)*100</f>
        <v>3.0754277148803411E-2</v>
      </c>
    </row>
    <row r="4" spans="1:9" x14ac:dyDescent="0.35">
      <c r="A4" s="8">
        <v>150</v>
      </c>
      <c r="B4">
        <v>22839.012599999998</v>
      </c>
      <c r="C4">
        <f t="shared" si="0"/>
        <v>22857.964669973342</v>
      </c>
      <c r="D4">
        <f t="shared" si="1"/>
        <v>8.298112665931931E-2</v>
      </c>
      <c r="E4" s="10">
        <f t="shared" si="2"/>
        <v>8.2981126659320559E-2</v>
      </c>
    </row>
    <row r="5" spans="1:9" x14ac:dyDescent="0.35">
      <c r="A5" s="9">
        <v>75</v>
      </c>
      <c r="B5">
        <v>8071.8380999999999</v>
      </c>
      <c r="C5">
        <f>$F$2*A5^$G$2*($H$2+EXP($I$2/A5))</f>
        <v>8081.5109111303364</v>
      </c>
      <c r="D5" s="1">
        <f t="shared" si="1"/>
        <v>0.1198340577511882</v>
      </c>
      <c r="E5" s="10">
        <f t="shared" si="2"/>
        <v>0.11983405775117806</v>
      </c>
    </row>
    <row r="6" spans="1:9" x14ac:dyDescent="0.35">
      <c r="A6" s="9">
        <v>37.5</v>
      </c>
      <c r="B6">
        <v>2854.2889</v>
      </c>
      <c r="C6">
        <f t="shared" si="0"/>
        <v>2857.2455837466696</v>
      </c>
      <c r="D6" s="1">
        <f t="shared" si="1"/>
        <v>0.10358740303651705</v>
      </c>
      <c r="E6" s="10">
        <f t="shared" si="2"/>
        <v>0.10358740303650915</v>
      </c>
    </row>
    <row r="7" spans="1:9" x14ac:dyDescent="0.35">
      <c r="A7">
        <v>18.75</v>
      </c>
      <c r="B7">
        <v>1009.9263999999999</v>
      </c>
      <c r="C7">
        <f t="shared" si="0"/>
        <v>1010.1888638912927</v>
      </c>
      <c r="D7" s="1">
        <f t="shared" si="1"/>
        <v>2.5988417699822693E-2</v>
      </c>
      <c r="E7" s="10">
        <f t="shared" si="2"/>
        <v>2.5988417699829292E-2</v>
      </c>
    </row>
    <row r="8" spans="1:9" x14ac:dyDescent="0.35">
      <c r="A8">
        <v>9.375</v>
      </c>
      <c r="B8">
        <v>357.70010000000002</v>
      </c>
      <c r="C8">
        <f t="shared" si="0"/>
        <v>357.15569796833364</v>
      </c>
      <c r="D8" s="1">
        <f t="shared" si="1"/>
        <v>0.15219510189300464</v>
      </c>
      <c r="E8" s="10">
        <f t="shared" si="2"/>
        <v>-0.15219510189300456</v>
      </c>
    </row>
    <row r="9" spans="1:9" x14ac:dyDescent="0.35">
      <c r="D9" s="1"/>
      <c r="E9" s="10"/>
    </row>
    <row r="10" spans="1:9" x14ac:dyDescent="0.35">
      <c r="D10" s="1"/>
      <c r="E10" s="10"/>
    </row>
  </sheetData>
  <conditionalFormatting sqref="D2:D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A6F0-2FCB-4D31-924A-702C31634F12}">
  <dimension ref="A1:I8"/>
  <sheetViews>
    <sheetView workbookViewId="0">
      <selection activeCell="C1" sqref="C1:I9"/>
    </sheetView>
  </sheetViews>
  <sheetFormatPr defaultRowHeight="14.5" x14ac:dyDescent="0.35"/>
  <cols>
    <col min="1" max="1" width="14.4531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4574.6813000000002</v>
      </c>
      <c r="C2">
        <f>$F$2*A2^$G$2*($H$2+EXP($I$2/A2))</f>
        <v>4574.6399999999994</v>
      </c>
      <c r="D2">
        <f>ABS(B2-C2)/B2*100</f>
        <v>9.0279513024818059E-4</v>
      </c>
      <c r="E2" s="10">
        <f>((C2/B2)-1)*100</f>
        <v>-9.0279513025315339E-4</v>
      </c>
      <c r="F2">
        <v>15.248799999999999</v>
      </c>
      <c r="G2">
        <v>1</v>
      </c>
      <c r="H2">
        <v>0</v>
      </c>
      <c r="I2">
        <v>0</v>
      </c>
    </row>
    <row r="3" spans="1:9" x14ac:dyDescent="0.35">
      <c r="A3" s="8">
        <v>225</v>
      </c>
      <c r="B3">
        <v>3430.8962999999999</v>
      </c>
      <c r="C3">
        <f t="shared" ref="C3:C8" si="0">$F$2*A3^$G$2*($H$2+EXP($I$2/A3))</f>
        <v>3430.98</v>
      </c>
      <c r="D3">
        <f t="shared" ref="D3:D8" si="1">ABS(B3-C3)/B3*100</f>
        <v>2.4395957406271747E-3</v>
      </c>
      <c r="E3" s="10">
        <f t="shared" ref="E3:E7" si="2">((C3/B3)-1)*100</f>
        <v>2.4395957406220248E-3</v>
      </c>
    </row>
    <row r="4" spans="1:9" x14ac:dyDescent="0.35">
      <c r="A4" s="8">
        <v>150</v>
      </c>
      <c r="B4">
        <v>2287.241</v>
      </c>
      <c r="C4">
        <f t="shared" si="0"/>
        <v>2287.3199999999997</v>
      </c>
      <c r="D4">
        <f t="shared" si="1"/>
        <v>3.4539429819473995E-3</v>
      </c>
      <c r="E4" s="10">
        <f t="shared" si="2"/>
        <v>3.4539429819568923E-3</v>
      </c>
    </row>
    <row r="5" spans="1:9" x14ac:dyDescent="0.35">
      <c r="A5" s="9">
        <v>75</v>
      </c>
      <c r="B5">
        <v>1143.7201</v>
      </c>
      <c r="C5">
        <f>$F$2*A5^$G$2*($H$2+EXP($I$2/A5))</f>
        <v>1143.6599999999999</v>
      </c>
      <c r="D5" s="1">
        <f t="shared" si="1"/>
        <v>5.2547821796738291E-3</v>
      </c>
      <c r="E5" s="10">
        <f t="shared" si="2"/>
        <v>-5.2547821796755656E-3</v>
      </c>
    </row>
    <row r="6" spans="1:9" x14ac:dyDescent="0.35">
      <c r="A6" s="9">
        <v>37.5</v>
      </c>
      <c r="B6">
        <v>572.01</v>
      </c>
      <c r="C6">
        <f t="shared" si="0"/>
        <v>571.82999999999993</v>
      </c>
      <c r="D6" s="1">
        <f t="shared" si="1"/>
        <v>3.1467981329008875E-2</v>
      </c>
      <c r="E6" s="10">
        <f t="shared" si="2"/>
        <v>-3.1467981329014183E-2</v>
      </c>
    </row>
    <row r="7" spans="1:9" x14ac:dyDescent="0.35">
      <c r="A7">
        <v>18.75</v>
      </c>
      <c r="B7">
        <v>286.16770000000002</v>
      </c>
      <c r="C7">
        <f t="shared" si="0"/>
        <v>285.91499999999996</v>
      </c>
      <c r="D7" s="1">
        <f t="shared" si="1"/>
        <v>8.8304864595152147E-2</v>
      </c>
      <c r="E7" s="10">
        <f t="shared" si="2"/>
        <v>-8.830486459515674E-2</v>
      </c>
    </row>
    <row r="8" spans="1:9" x14ac:dyDescent="0.35">
      <c r="A8">
        <v>9.375</v>
      </c>
      <c r="B8">
        <v>143.24979999999999</v>
      </c>
      <c r="C8">
        <f t="shared" si="0"/>
        <v>142.95749999999998</v>
      </c>
      <c r="D8" s="1">
        <f t="shared" si="1"/>
        <v>0.20404915050493025</v>
      </c>
      <c r="E8" s="10">
        <f>((C8/B8)-1)*100</f>
        <v>-0.20404915050492578</v>
      </c>
    </row>
  </sheetData>
  <conditionalFormatting sqref="D2:D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882C-BBAD-40C5-BEAD-D7B77D9E6129}">
  <dimension ref="A1:I8"/>
  <sheetViews>
    <sheetView workbookViewId="0">
      <selection activeCell="C1" sqref="C1:I8"/>
    </sheetView>
  </sheetViews>
  <sheetFormatPr defaultRowHeight="14.5" x14ac:dyDescent="0.35"/>
  <cols>
    <col min="4" max="4" width="11.816406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6291.9546</v>
      </c>
      <c r="C2">
        <f>$F$2*A2^$G$2*($H$2+EXP($I$2/A2))</f>
        <v>6291.3534542437892</v>
      </c>
      <c r="D2">
        <f>ABS(B2-C2)/B2*100</f>
        <v>9.5541972952383706E-3</v>
      </c>
      <c r="E2" s="10">
        <f>((C2/B2)-1)*100</f>
        <v>-9.5541972952362109E-3</v>
      </c>
      <c r="F2">
        <v>13.7272</v>
      </c>
      <c r="G2">
        <v>1</v>
      </c>
      <c r="H2">
        <v>0.62680800000000003</v>
      </c>
      <c r="I2">
        <v>-31.307700000000001</v>
      </c>
    </row>
    <row r="3" spans="1:9" x14ac:dyDescent="0.35">
      <c r="A3" s="8">
        <v>225</v>
      </c>
      <c r="B3">
        <v>4622.9411</v>
      </c>
      <c r="C3">
        <f t="shared" ref="C3:C8" si="0">$F$2*A3^$G$2*($H$2+EXP($I$2/A3))</f>
        <v>4623.3848191308589</v>
      </c>
      <c r="D3">
        <f t="shared" ref="D3:D8" si="1">ABS(B3-C3)/B3*100</f>
        <v>9.5981999610352114E-3</v>
      </c>
      <c r="E3" s="10">
        <f t="shared" ref="E3:E7" si="2">((C3/B3)-1)*100</f>
        <v>9.5981999610250668E-3</v>
      </c>
    </row>
    <row r="4" spans="1:9" x14ac:dyDescent="0.35">
      <c r="A4" s="8">
        <v>150</v>
      </c>
      <c r="B4">
        <v>2961.0529999999999</v>
      </c>
      <c r="C4">
        <f t="shared" si="0"/>
        <v>2961.8467300982652</v>
      </c>
      <c r="D4">
        <f t="shared" si="1"/>
        <v>2.6805670086462965E-2</v>
      </c>
      <c r="E4" s="10">
        <f t="shared" si="2"/>
        <v>2.6805670086460509E-2</v>
      </c>
    </row>
    <row r="5" spans="1:9" x14ac:dyDescent="0.35">
      <c r="A5" s="9">
        <v>75</v>
      </c>
      <c r="B5">
        <v>1323.5198</v>
      </c>
      <c r="C5">
        <f>$F$2*A5^$G$2*($H$2+EXP($I$2/A5))</f>
        <v>1323.5165497773712</v>
      </c>
      <c r="D5" s="1">
        <f t="shared" si="1"/>
        <v>2.4557415981397296E-4</v>
      </c>
      <c r="E5" s="10">
        <f t="shared" si="2"/>
        <v>-2.4557415981840691E-4</v>
      </c>
    </row>
    <row r="6" spans="1:9" x14ac:dyDescent="0.35">
      <c r="A6" s="9">
        <v>37.5</v>
      </c>
      <c r="B6">
        <v>547.02030000000002</v>
      </c>
      <c r="C6">
        <f t="shared" si="0"/>
        <v>546.03611102953698</v>
      </c>
      <c r="D6" s="1">
        <f t="shared" si="1"/>
        <v>0.17991818045199373</v>
      </c>
      <c r="E6" s="10">
        <f t="shared" si="2"/>
        <v>-0.17991818045199892</v>
      </c>
    </row>
    <row r="7" spans="1:9" x14ac:dyDescent="0.35">
      <c r="A7">
        <v>18.75</v>
      </c>
      <c r="B7">
        <v>210.2569</v>
      </c>
      <c r="C7">
        <f t="shared" si="0"/>
        <v>209.79535336181181</v>
      </c>
      <c r="D7" s="1">
        <f t="shared" si="1"/>
        <v>0.21951557270567379</v>
      </c>
      <c r="E7" s="10">
        <f t="shared" si="2"/>
        <v>-0.21951557270567523</v>
      </c>
    </row>
    <row r="8" spans="1:9" x14ac:dyDescent="0.35">
      <c r="A8">
        <v>9.375</v>
      </c>
      <c r="B8">
        <v>84.009900000000002</v>
      </c>
      <c r="C8">
        <f t="shared" si="0"/>
        <v>85.228294780427845</v>
      </c>
      <c r="D8" s="1">
        <f t="shared" si="1"/>
        <v>1.4502990485976572</v>
      </c>
      <c r="E8" s="10">
        <f>((C8/B8)-1)*100</f>
        <v>1.4502990485976586</v>
      </c>
    </row>
  </sheetData>
  <conditionalFormatting sqref="D2:D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0AFD-00E8-4606-B67E-909487A9BB84}">
  <dimension ref="A1:I10"/>
  <sheetViews>
    <sheetView workbookViewId="0">
      <selection activeCell="C1" sqref="C1:I10"/>
    </sheetView>
  </sheetViews>
  <sheetFormatPr defaultRowHeight="14.5" x14ac:dyDescent="0.35"/>
  <cols>
    <col min="1" max="1" width="15.4531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33171.9107</v>
      </c>
      <c r="C2">
        <f>$F$2*A2^$G$2*($H$2+EXP($I$2/A2))</f>
        <v>33168.599759863238</v>
      </c>
      <c r="D2">
        <f>ABS(B2-C2)/B2*100</f>
        <v>9.9811559445742992E-3</v>
      </c>
      <c r="E2" s="10">
        <f>((C2/B2)-1)*100</f>
        <v>-9.981155944571718E-3</v>
      </c>
      <c r="F2">
        <v>6.3833000000000002</v>
      </c>
      <c r="G2">
        <v>1.5</v>
      </c>
      <c r="H2">
        <v>0</v>
      </c>
      <c r="I2">
        <v>0</v>
      </c>
    </row>
    <row r="3" spans="1:9" x14ac:dyDescent="0.35">
      <c r="A3" s="8">
        <v>225</v>
      </c>
      <c r="B3">
        <v>21540.0209</v>
      </c>
      <c r="C3">
        <f t="shared" ref="C3:C8" si="0">$F$2*A3^$G$2*($H$2+EXP($I$2/A3))</f>
        <v>21543.637499999993</v>
      </c>
      <c r="D3">
        <f t="shared" ref="D3:D8" si="1">ABS(B3-C3)/B3*100</f>
        <v>1.6790141554569819E-2</v>
      </c>
      <c r="E3" s="10">
        <f t="shared" ref="E3:E7" si="2">((C3/B3)-1)*100</f>
        <v>1.679014155457903E-2</v>
      </c>
    </row>
    <row r="4" spans="1:9" x14ac:dyDescent="0.35">
      <c r="A4" s="8">
        <v>150</v>
      </c>
      <c r="B4">
        <v>11723.704299999999</v>
      </c>
      <c r="C4">
        <f t="shared" si="0"/>
        <v>11726.870906330891</v>
      </c>
      <c r="D4">
        <f t="shared" si="1"/>
        <v>2.7010288300185353E-2</v>
      </c>
      <c r="E4" s="10">
        <f t="shared" si="2"/>
        <v>2.7010288300188812E-2</v>
      </c>
    </row>
    <row r="5" spans="1:9" x14ac:dyDescent="0.35">
      <c r="A5" s="9">
        <v>75</v>
      </c>
      <c r="B5">
        <v>4147.2858999999999</v>
      </c>
      <c r="C5">
        <f>$F$2*A5^$G$2*($H$2+EXP($I$2/A5))</f>
        <v>4146.0749699829039</v>
      </c>
      <c r="D5" s="1">
        <f t="shared" si="1"/>
        <v>2.9198132134945445E-2</v>
      </c>
      <c r="E5" s="10">
        <f t="shared" si="2"/>
        <v>-2.9198132134944377E-2</v>
      </c>
    </row>
    <row r="6" spans="1:9" x14ac:dyDescent="0.35">
      <c r="A6" s="9">
        <v>37.5</v>
      </c>
      <c r="B6">
        <v>1468.8967</v>
      </c>
      <c r="C6">
        <f t="shared" si="0"/>
        <v>1465.8588632913622</v>
      </c>
      <c r="D6" s="1">
        <f t="shared" si="1"/>
        <v>0.20681077904510028</v>
      </c>
      <c r="E6" s="10">
        <f t="shared" si="2"/>
        <v>-0.20681077904509682</v>
      </c>
    </row>
    <row r="7" spans="1:9" x14ac:dyDescent="0.35">
      <c r="A7">
        <v>18.75</v>
      </c>
      <c r="B7">
        <v>521.35839999999996</v>
      </c>
      <c r="C7">
        <f t="shared" si="0"/>
        <v>518.25937124786333</v>
      </c>
      <c r="D7" s="1">
        <f t="shared" si="1"/>
        <v>0.59441427473627217</v>
      </c>
      <c r="E7" s="10">
        <f t="shared" si="2"/>
        <v>-0.59441427473627684</v>
      </c>
    </row>
    <row r="8" spans="1:9" x14ac:dyDescent="0.35">
      <c r="A8">
        <v>9.375</v>
      </c>
      <c r="B8">
        <v>185.8049</v>
      </c>
      <c r="C8">
        <f t="shared" si="0"/>
        <v>183.23235791142025</v>
      </c>
      <c r="D8" s="1">
        <f t="shared" si="1"/>
        <v>1.3845394220387901</v>
      </c>
      <c r="E8" s="10">
        <f>((C8/B8)-1)*100</f>
        <v>-1.3845394220387885</v>
      </c>
    </row>
    <row r="9" spans="1:9" x14ac:dyDescent="0.35">
      <c r="A9" s="10">
        <v>5</v>
      </c>
      <c r="B9">
        <v>73.399699999999996</v>
      </c>
      <c r="C9">
        <f t="shared" ref="C9:C10" si="3">$F$2*A9^$G$2*($H$2+EXP($I$2/A9))</f>
        <v>71.367463603872025</v>
      </c>
      <c r="D9" s="1">
        <f t="shared" ref="D9:D10" si="4">ABS(B9-C9)/B9*100</f>
        <v>2.7687257524594386</v>
      </c>
      <c r="E9" s="10">
        <f t="shared" ref="E9:E10" si="5">((C9/B9)-1)*100</f>
        <v>-2.7687257524594333</v>
      </c>
    </row>
    <row r="10" spans="1:9" x14ac:dyDescent="0.35">
      <c r="A10">
        <v>2.7250000000000001</v>
      </c>
      <c r="B10">
        <v>30.304200000000002</v>
      </c>
      <c r="C10">
        <f t="shared" si="3"/>
        <v>28.714087247050283</v>
      </c>
      <c r="D10" s="1">
        <f t="shared" si="4"/>
        <v>5.2471695439896715</v>
      </c>
      <c r="E10" s="10">
        <f t="shared" si="5"/>
        <v>-5.2471695439896715</v>
      </c>
    </row>
  </sheetData>
  <conditionalFormatting sqref="D2:D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097E-5F22-418C-946E-F8E170A03E9B}">
  <dimension ref="A1:I10"/>
  <sheetViews>
    <sheetView workbookViewId="0">
      <selection activeCell="E3" sqref="E3"/>
    </sheetView>
  </sheetViews>
  <sheetFormatPr defaultRowHeight="14.5" x14ac:dyDescent="0.35"/>
  <cols>
    <col min="1" max="1" width="15.453125" bestFit="1" customWidth="1"/>
  </cols>
  <sheetData>
    <row r="1" spans="1:9" x14ac:dyDescent="0.35">
      <c r="A1" t="s">
        <v>0</v>
      </c>
      <c r="B1" t="s">
        <v>27</v>
      </c>
      <c r="C1" t="s">
        <v>1</v>
      </c>
      <c r="D1" t="s">
        <v>6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35">
      <c r="A2" s="8">
        <v>300</v>
      </c>
      <c r="B2">
        <v>10877.0116</v>
      </c>
      <c r="C2">
        <f>$F$2*A2^$G$2*($H$2+EXP($I$2/A2))</f>
        <v>10877.646441947896</v>
      </c>
      <c r="D2">
        <f>ABS(B2-C2)/B2*100</f>
        <v>5.8365474933974315E-3</v>
      </c>
      <c r="E2" s="12">
        <f>((C2/B2)-1)*100</f>
        <v>5.8365474933985695E-3</v>
      </c>
      <c r="F2">
        <v>36.248899999999999</v>
      </c>
      <c r="G2">
        <v>1</v>
      </c>
      <c r="H2">
        <v>0</v>
      </c>
      <c r="I2">
        <v>8.2100000000000006E-2</v>
      </c>
    </row>
    <row r="3" spans="1:9" x14ac:dyDescent="0.35">
      <c r="A3" s="8">
        <v>225</v>
      </c>
      <c r="B3">
        <v>8159.7753000000002</v>
      </c>
      <c r="C3">
        <f t="shared" ref="C3:C8" si="0">$F$2*A3^$G$2*($H$2+EXP($I$2/A3))</f>
        <v>8158.979077717041</v>
      </c>
      <c r="D3">
        <f t="shared" ref="D3:D8" si="1">ABS(B3-C3)/B3*100</f>
        <v>9.7578947175078028E-3</v>
      </c>
      <c r="E3" s="12">
        <f t="shared" ref="E3:E7" si="2">((C3/B3)-1)*100</f>
        <v>-9.7578947175103181E-3</v>
      </c>
    </row>
    <row r="4" spans="1:9" x14ac:dyDescent="0.35">
      <c r="A4" s="8">
        <v>150</v>
      </c>
      <c r="B4">
        <v>5440.4710999999998</v>
      </c>
      <c r="C4">
        <f t="shared" si="0"/>
        <v>5440.311849280105</v>
      </c>
      <c r="D4">
        <f t="shared" si="1"/>
        <v>2.9271494502520466E-3</v>
      </c>
      <c r="E4" s="12">
        <f t="shared" si="2"/>
        <v>-2.927149450249189E-3</v>
      </c>
    </row>
    <row r="5" spans="1:9" x14ac:dyDescent="0.35">
      <c r="A5" s="9">
        <v>75</v>
      </c>
      <c r="B5">
        <v>2721.5030999999999</v>
      </c>
      <c r="C5">
        <f>$F$2*A5^$G$2*($H$2+EXP($I$2/A5))</f>
        <v>2721.6451641675112</v>
      </c>
      <c r="D5" s="1">
        <f t="shared" si="1"/>
        <v>5.2200626746046136E-3</v>
      </c>
      <c r="E5" s="12">
        <f t="shared" si="2"/>
        <v>5.2200626746046197E-3</v>
      </c>
    </row>
    <row r="6" spans="1:9" x14ac:dyDescent="0.35">
      <c r="A6" s="9">
        <v>37.5</v>
      </c>
      <c r="B6">
        <v>1362.1959999999999</v>
      </c>
      <c r="C6">
        <f t="shared" si="0"/>
        <v>1362.3130448347213</v>
      </c>
      <c r="D6" s="1">
        <f t="shared" si="1"/>
        <v>8.5923637069375541E-3</v>
      </c>
      <c r="E6" s="12">
        <f t="shared" si="2"/>
        <v>8.5923637069384995E-3</v>
      </c>
    </row>
    <row r="7" spans="1:9" x14ac:dyDescent="0.35">
      <c r="A7">
        <v>18.75</v>
      </c>
      <c r="B7">
        <v>682.58929999999998</v>
      </c>
      <c r="C7">
        <f t="shared" si="0"/>
        <v>682.64943474214806</v>
      </c>
      <c r="D7" s="1">
        <f t="shared" si="1"/>
        <v>8.8097985345037735E-3</v>
      </c>
      <c r="E7" s="12">
        <f t="shared" si="2"/>
        <v>8.8097985345036989E-3</v>
      </c>
    </row>
    <row r="8" spans="1:9" x14ac:dyDescent="0.35">
      <c r="A8">
        <v>9.375</v>
      </c>
      <c r="B8">
        <v>342.803</v>
      </c>
      <c r="C8">
        <f t="shared" si="0"/>
        <v>342.82254137644577</v>
      </c>
      <c r="D8" s="1">
        <f t="shared" si="1"/>
        <v>5.7004683289739542E-3</v>
      </c>
      <c r="E8" s="12">
        <f>((C8/B8)-1)*100</f>
        <v>5.7004683289729741E-3</v>
      </c>
    </row>
    <row r="9" spans="1:9" x14ac:dyDescent="0.35">
      <c r="D9" s="1"/>
      <c r="E9" s="10"/>
    </row>
    <row r="10" spans="1:9" x14ac:dyDescent="0.35">
      <c r="D10" s="1"/>
      <c r="E10" s="10"/>
    </row>
  </sheetData>
  <conditionalFormatting sqref="D2:D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FC7465-1B36-49B3-B2A2-31D01BB460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CH3OH</vt:lpstr>
      <vt:lpstr>CH3OD</vt:lpstr>
      <vt:lpstr>C2H5OH</vt:lpstr>
      <vt:lpstr>CH2OHCHO</vt:lpstr>
      <vt:lpstr>HDCO</vt:lpstr>
      <vt:lpstr>HCCCNv6</vt:lpstr>
      <vt:lpstr>HCCCN-15</vt:lpstr>
      <vt:lpstr>HCCCN</vt:lpstr>
      <vt:lpstr>H13CCCN</vt:lpstr>
      <vt:lpstr>HC13CCN</vt:lpstr>
      <vt:lpstr>HCC13CN</vt:lpstr>
      <vt:lpstr>O13CS</vt:lpstr>
      <vt:lpstr>S2Ov=0</vt:lpstr>
      <vt:lpstr>NH2OH</vt:lpstr>
      <vt:lpstr>HONO</vt:lpstr>
      <vt:lpstr>D2CS</vt:lpstr>
      <vt:lpstr>H2CS</vt:lpstr>
      <vt:lpstr>DCNv0</vt:lpstr>
      <vt:lpstr>13CH3CHO</vt:lpstr>
      <vt:lpstr>HC7Nv15</vt:lpstr>
      <vt:lpstr>CH3OCH2OH</vt:lpstr>
      <vt:lpstr>CH318OH</vt:lpstr>
      <vt:lpstr>DCCCN</vt:lpstr>
      <vt:lpstr>H2S</vt:lpstr>
      <vt:lpstr>C2H5CNv20</vt:lpstr>
      <vt:lpstr>g-C2H5SH</vt:lpstr>
      <vt:lpstr>C5O</vt:lpstr>
      <vt:lpstr>C3H</vt:lpstr>
      <vt:lpstr>cis-HCONHD</vt:lpstr>
      <vt:lpstr>CNCN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Collette Sarver</dc:creator>
  <cp:lastModifiedBy>Collette Sarver</cp:lastModifiedBy>
  <dcterms:created xsi:type="dcterms:W3CDTF">2015-06-05T18:17:20Z</dcterms:created>
  <dcterms:modified xsi:type="dcterms:W3CDTF">2026-04-23T19:13:56Z</dcterms:modified>
</cp:coreProperties>
</file>