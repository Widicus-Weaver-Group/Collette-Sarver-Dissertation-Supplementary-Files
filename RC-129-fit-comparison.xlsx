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\Documents\Research\Observing-laptop\Gobasic\"/>
    </mc:Choice>
  </mc:AlternateContent>
  <xr:revisionPtr revIDLastSave="0" documentId="13_ncr:1_{B42D6929-CBEB-4559-8A9F-0F8A31E2BE99}" xr6:coauthVersionLast="47" xr6:coauthVersionMax="47" xr10:uidLastSave="{00000000-0000-0000-0000-000000000000}"/>
  <bookViews>
    <workbookView xWindow="28680" yWindow="-120" windowWidth="29040" windowHeight="15840" xr2:uid="{06225C15-2793-42C1-9E17-011979ABDE92}"/>
  </bookViews>
  <sheets>
    <sheet name="Checking AGAIN" sheetId="6" r:id="rId1"/>
    <sheet name="Checking against RC 11-37-pf" sheetId="3" r:id="rId2"/>
    <sheet name="11-molecules-37-pf-masers-absor" sheetId="1" r:id="rId3"/>
    <sheet name="Checking against RC 11-no-p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6" l="1"/>
  <c r="E35" i="6"/>
  <c r="M70" i="6"/>
  <c r="AB70" i="6"/>
  <c r="AE70" i="6"/>
  <c r="Y70" i="6"/>
  <c r="AF70" i="6"/>
  <c r="AC70" i="6"/>
  <c r="Z70" i="6"/>
  <c r="W70" i="6"/>
  <c r="V70" i="6"/>
  <c r="S70" i="6"/>
  <c r="T70" i="6"/>
  <c r="P70" i="6"/>
  <c r="Q70" i="6"/>
  <c r="N70" i="6"/>
  <c r="K70" i="6"/>
  <c r="G70" i="6"/>
  <c r="H70" i="6"/>
  <c r="D70" i="6"/>
  <c r="E70" i="6"/>
  <c r="J70" i="6"/>
  <c r="A70" i="6"/>
  <c r="AE73" i="6"/>
  <c r="AE72" i="6"/>
  <c r="AE71" i="6"/>
  <c r="AB73" i="6"/>
  <c r="AB72" i="6"/>
  <c r="AB71" i="6"/>
  <c r="Y73" i="6"/>
  <c r="Y72" i="6"/>
  <c r="Y71" i="6"/>
  <c r="V73" i="6"/>
  <c r="V72" i="6"/>
  <c r="V71" i="6"/>
  <c r="S73" i="6"/>
  <c r="S72" i="6"/>
  <c r="S71" i="6"/>
  <c r="P73" i="6"/>
  <c r="P72" i="6"/>
  <c r="P71" i="6"/>
  <c r="M73" i="6"/>
  <c r="M72" i="6"/>
  <c r="M71" i="6"/>
  <c r="J73" i="6"/>
  <c r="J72" i="6"/>
  <c r="J71" i="6"/>
  <c r="G73" i="6"/>
  <c r="G72" i="6"/>
  <c r="G71" i="6"/>
  <c r="D73" i="6"/>
  <c r="D72" i="6"/>
  <c r="D71" i="6"/>
  <c r="A71" i="6"/>
  <c r="A72" i="6"/>
  <c r="A73" i="6"/>
  <c r="AG83" i="6"/>
  <c r="AD83" i="6"/>
  <c r="AA83" i="6"/>
  <c r="X83" i="6"/>
  <c r="U83" i="6"/>
  <c r="R83" i="6"/>
  <c r="O83" i="6"/>
  <c r="L83" i="6"/>
  <c r="I83" i="6"/>
  <c r="F83" i="6"/>
  <c r="C83" i="6"/>
  <c r="AG82" i="6"/>
  <c r="AD82" i="6"/>
  <c r="AA82" i="6"/>
  <c r="X82" i="6"/>
  <c r="U82" i="6"/>
  <c r="R82" i="6"/>
  <c r="O82" i="6"/>
  <c r="L82" i="6"/>
  <c r="I82" i="6"/>
  <c r="F82" i="6"/>
  <c r="C82" i="6"/>
  <c r="AG81" i="6"/>
  <c r="AD81" i="6"/>
  <c r="AA81" i="6"/>
  <c r="X81" i="6"/>
  <c r="U81" i="6"/>
  <c r="R81" i="6"/>
  <c r="O81" i="6"/>
  <c r="L81" i="6"/>
  <c r="I81" i="6"/>
  <c r="F81" i="6"/>
  <c r="C81" i="6"/>
  <c r="AG80" i="6"/>
  <c r="AD80" i="6"/>
  <c r="AA80" i="6"/>
  <c r="X80" i="6"/>
  <c r="U80" i="6"/>
  <c r="R80" i="6"/>
  <c r="O80" i="6"/>
  <c r="L80" i="6"/>
  <c r="I80" i="6"/>
  <c r="I84" i="6" s="1"/>
  <c r="F80" i="6"/>
  <c r="C80" i="6"/>
  <c r="AG79" i="6"/>
  <c r="AF79" i="6"/>
  <c r="AD79" i="6"/>
  <c r="AC79" i="6"/>
  <c r="AA79" i="6"/>
  <c r="Z79" i="6"/>
  <c r="X79" i="6"/>
  <c r="W79" i="6"/>
  <c r="U79" i="6"/>
  <c r="T79" i="6"/>
  <c r="R79" i="6"/>
  <c r="Q79" i="6"/>
  <c r="O79" i="6"/>
  <c r="N79" i="6"/>
  <c r="L79" i="6"/>
  <c r="K79" i="6"/>
  <c r="I79" i="6"/>
  <c r="H79" i="6"/>
  <c r="F79" i="6"/>
  <c r="E79" i="6"/>
  <c r="C79" i="6"/>
  <c r="B79" i="6"/>
  <c r="AG78" i="6"/>
  <c r="AF78" i="6"/>
  <c r="AD78" i="6"/>
  <c r="AC78" i="6"/>
  <c r="AA78" i="6"/>
  <c r="Z78" i="6"/>
  <c r="X78" i="6"/>
  <c r="W78" i="6"/>
  <c r="U78" i="6"/>
  <c r="T78" i="6"/>
  <c r="R78" i="6"/>
  <c r="Q78" i="6"/>
  <c r="O78" i="6"/>
  <c r="N78" i="6"/>
  <c r="L78" i="6"/>
  <c r="K78" i="6"/>
  <c r="I78" i="6"/>
  <c r="H78" i="6"/>
  <c r="F78" i="6"/>
  <c r="E78" i="6"/>
  <c r="C78" i="6"/>
  <c r="B78" i="6"/>
  <c r="AG77" i="6"/>
  <c r="AF77" i="6"/>
  <c r="AD77" i="6"/>
  <c r="AC77" i="6"/>
  <c r="AA77" i="6"/>
  <c r="Z77" i="6"/>
  <c r="X77" i="6"/>
  <c r="W77" i="6"/>
  <c r="U77" i="6"/>
  <c r="T77" i="6"/>
  <c r="R77" i="6"/>
  <c r="Q77" i="6"/>
  <c r="O77" i="6"/>
  <c r="N77" i="6"/>
  <c r="L77" i="6"/>
  <c r="K77" i="6"/>
  <c r="I77" i="6"/>
  <c r="H77" i="6"/>
  <c r="F77" i="6"/>
  <c r="E77" i="6"/>
  <c r="C77" i="6"/>
  <c r="B77" i="6"/>
  <c r="AG76" i="6"/>
  <c r="AF76" i="6"/>
  <c r="AD76" i="6"/>
  <c r="AC76" i="6"/>
  <c r="AA76" i="6"/>
  <c r="Z76" i="6"/>
  <c r="X76" i="6"/>
  <c r="W76" i="6"/>
  <c r="U76" i="6"/>
  <c r="T76" i="6"/>
  <c r="R76" i="6"/>
  <c r="Q76" i="6"/>
  <c r="O76" i="6"/>
  <c r="N76" i="6"/>
  <c r="L76" i="6"/>
  <c r="K76" i="6"/>
  <c r="I76" i="6"/>
  <c r="H76" i="6"/>
  <c r="F76" i="6"/>
  <c r="E76" i="6"/>
  <c r="C76" i="6"/>
  <c r="B76" i="6"/>
  <c r="B63" i="6"/>
  <c r="F65" i="6"/>
  <c r="C65" i="6"/>
  <c r="AG68" i="6"/>
  <c r="AD68" i="6"/>
  <c r="AA68" i="6"/>
  <c r="X68" i="6"/>
  <c r="U68" i="6"/>
  <c r="R68" i="6"/>
  <c r="O68" i="6"/>
  <c r="L68" i="6"/>
  <c r="I68" i="6"/>
  <c r="F68" i="6"/>
  <c r="C68" i="6"/>
  <c r="AG67" i="6"/>
  <c r="AD67" i="6"/>
  <c r="AA67" i="6"/>
  <c r="X67" i="6"/>
  <c r="U67" i="6"/>
  <c r="R67" i="6"/>
  <c r="O67" i="6"/>
  <c r="L67" i="6"/>
  <c r="I67" i="6"/>
  <c r="F67" i="6"/>
  <c r="C67" i="6"/>
  <c r="AG66" i="6"/>
  <c r="AD66" i="6"/>
  <c r="AA66" i="6"/>
  <c r="X66" i="6"/>
  <c r="U66" i="6"/>
  <c r="R66" i="6"/>
  <c r="O66" i="6"/>
  <c r="L66" i="6"/>
  <c r="I66" i="6"/>
  <c r="F66" i="6"/>
  <c r="C66" i="6"/>
  <c r="AG65" i="6"/>
  <c r="AD65" i="6"/>
  <c r="AD69" i="6" s="1"/>
  <c r="AA65" i="6"/>
  <c r="X65" i="6"/>
  <c r="U65" i="6"/>
  <c r="R65" i="6"/>
  <c r="O65" i="6"/>
  <c r="L65" i="6"/>
  <c r="I65" i="6"/>
  <c r="AG64" i="6"/>
  <c r="AF64" i="6"/>
  <c r="AD64" i="6"/>
  <c r="AC64" i="6"/>
  <c r="AA64" i="6"/>
  <c r="Z64" i="6"/>
  <c r="X64" i="6"/>
  <c r="W64" i="6"/>
  <c r="U64" i="6"/>
  <c r="T64" i="6"/>
  <c r="R64" i="6"/>
  <c r="Q64" i="6"/>
  <c r="O64" i="6"/>
  <c r="N64" i="6"/>
  <c r="L64" i="6"/>
  <c r="K64" i="6"/>
  <c r="I64" i="6"/>
  <c r="H64" i="6"/>
  <c r="F64" i="6"/>
  <c r="E64" i="6"/>
  <c r="C64" i="6"/>
  <c r="B64" i="6"/>
  <c r="AG63" i="6"/>
  <c r="AF63" i="6"/>
  <c r="AD63" i="6"/>
  <c r="AC63" i="6"/>
  <c r="AA63" i="6"/>
  <c r="Z63" i="6"/>
  <c r="X63" i="6"/>
  <c r="W63" i="6"/>
  <c r="U63" i="6"/>
  <c r="T63" i="6"/>
  <c r="R63" i="6"/>
  <c r="Q63" i="6"/>
  <c r="O63" i="6"/>
  <c r="N63" i="6"/>
  <c r="L63" i="6"/>
  <c r="K63" i="6"/>
  <c r="I63" i="6"/>
  <c r="H63" i="6"/>
  <c r="F63" i="6"/>
  <c r="E63" i="6"/>
  <c r="C63" i="6"/>
  <c r="AG62" i="6"/>
  <c r="AF62" i="6"/>
  <c r="AD62" i="6"/>
  <c r="AC62" i="6"/>
  <c r="AA62" i="6"/>
  <c r="Z62" i="6"/>
  <c r="X62" i="6"/>
  <c r="W62" i="6"/>
  <c r="U62" i="6"/>
  <c r="T62" i="6"/>
  <c r="R62" i="6"/>
  <c r="Q62" i="6"/>
  <c r="O62" i="6"/>
  <c r="N62" i="6"/>
  <c r="L62" i="6"/>
  <c r="K62" i="6"/>
  <c r="I62" i="6"/>
  <c r="H62" i="6"/>
  <c r="F62" i="6"/>
  <c r="E62" i="6"/>
  <c r="C62" i="6"/>
  <c r="B62" i="6"/>
  <c r="AG61" i="6"/>
  <c r="AF61" i="6"/>
  <c r="AD61" i="6"/>
  <c r="AC61" i="6"/>
  <c r="AA61" i="6"/>
  <c r="Z61" i="6"/>
  <c r="X61" i="6"/>
  <c r="W61" i="6"/>
  <c r="U61" i="6"/>
  <c r="T61" i="6"/>
  <c r="R61" i="6"/>
  <c r="Q61" i="6"/>
  <c r="O61" i="6"/>
  <c r="N61" i="6"/>
  <c r="L61" i="6"/>
  <c r="K61" i="6"/>
  <c r="I61" i="6"/>
  <c r="H61" i="6"/>
  <c r="F61" i="6"/>
  <c r="E61" i="6"/>
  <c r="C61" i="6"/>
  <c r="B61" i="6"/>
  <c r="AD93" i="6"/>
  <c r="AA93" i="6"/>
  <c r="X93" i="6"/>
  <c r="U93" i="6"/>
  <c r="R93" i="6"/>
  <c r="O93" i="6"/>
  <c r="L93" i="6"/>
  <c r="I93" i="6"/>
  <c r="F93" i="6"/>
  <c r="C93" i="6"/>
  <c r="AD92" i="6"/>
  <c r="AA92" i="6"/>
  <c r="X92" i="6"/>
  <c r="U92" i="6"/>
  <c r="R92" i="6"/>
  <c r="O92" i="6"/>
  <c r="L92" i="6"/>
  <c r="I92" i="6"/>
  <c r="F92" i="6"/>
  <c r="C92" i="6"/>
  <c r="AD91" i="6"/>
  <c r="AA91" i="6"/>
  <c r="X91" i="6"/>
  <c r="U91" i="6"/>
  <c r="R91" i="6"/>
  <c r="O91" i="6"/>
  <c r="L91" i="6"/>
  <c r="I91" i="6"/>
  <c r="F91" i="6"/>
  <c r="C91" i="6"/>
  <c r="AD90" i="6"/>
  <c r="AD94" i="6" s="1"/>
  <c r="AA90" i="6"/>
  <c r="AA94" i="6" s="1"/>
  <c r="X90" i="6"/>
  <c r="U90" i="6"/>
  <c r="U94" i="6" s="1"/>
  <c r="R90" i="6"/>
  <c r="O90" i="6"/>
  <c r="O94" i="6" s="1"/>
  <c r="L90" i="6"/>
  <c r="I90" i="6"/>
  <c r="I94" i="6" s="1"/>
  <c r="F90" i="6"/>
  <c r="C90" i="6"/>
  <c r="C94" i="6" s="1"/>
  <c r="AD89" i="6"/>
  <c r="AC89" i="6"/>
  <c r="AA89" i="6"/>
  <c r="Z89" i="6"/>
  <c r="X89" i="6"/>
  <c r="W89" i="6"/>
  <c r="U89" i="6"/>
  <c r="T89" i="6"/>
  <c r="R89" i="6"/>
  <c r="Q89" i="6"/>
  <c r="O89" i="6"/>
  <c r="N89" i="6"/>
  <c r="L89" i="6"/>
  <c r="K89" i="6"/>
  <c r="I89" i="6"/>
  <c r="H89" i="6"/>
  <c r="F89" i="6"/>
  <c r="E89" i="6"/>
  <c r="C89" i="6"/>
  <c r="B89" i="6"/>
  <c r="AD88" i="6"/>
  <c r="AC88" i="6"/>
  <c r="AA88" i="6"/>
  <c r="Z88" i="6"/>
  <c r="X88" i="6"/>
  <c r="W88" i="6"/>
  <c r="U88" i="6"/>
  <c r="T88" i="6"/>
  <c r="R88" i="6"/>
  <c r="Q88" i="6"/>
  <c r="O88" i="6"/>
  <c r="N88" i="6"/>
  <c r="L88" i="6"/>
  <c r="K88" i="6"/>
  <c r="I88" i="6"/>
  <c r="H88" i="6"/>
  <c r="F88" i="6"/>
  <c r="E88" i="6"/>
  <c r="C88" i="6"/>
  <c r="B88" i="6"/>
  <c r="AD87" i="6"/>
  <c r="AC87" i="6"/>
  <c r="AA87" i="6"/>
  <c r="Z87" i="6"/>
  <c r="X87" i="6"/>
  <c r="W87" i="6"/>
  <c r="U87" i="6"/>
  <c r="T87" i="6"/>
  <c r="R87" i="6"/>
  <c r="Q87" i="6"/>
  <c r="O87" i="6"/>
  <c r="N87" i="6"/>
  <c r="L87" i="6"/>
  <c r="K87" i="6"/>
  <c r="I87" i="6"/>
  <c r="H87" i="6"/>
  <c r="F87" i="6"/>
  <c r="E87" i="6"/>
  <c r="C87" i="6"/>
  <c r="B87" i="6"/>
  <c r="AD86" i="6"/>
  <c r="AC86" i="6"/>
  <c r="AA86" i="6"/>
  <c r="Z86" i="6"/>
  <c r="X86" i="6"/>
  <c r="W86" i="6"/>
  <c r="U86" i="6"/>
  <c r="T86" i="6"/>
  <c r="R86" i="6"/>
  <c r="Q86" i="6"/>
  <c r="O86" i="6"/>
  <c r="N86" i="6"/>
  <c r="L86" i="6"/>
  <c r="K86" i="6"/>
  <c r="I86" i="6"/>
  <c r="H86" i="6"/>
  <c r="F86" i="6"/>
  <c r="E86" i="6"/>
  <c r="C86" i="6"/>
  <c r="B86" i="6"/>
  <c r="AG58" i="6"/>
  <c r="AD58" i="6"/>
  <c r="AA58" i="6"/>
  <c r="X58" i="6"/>
  <c r="U58" i="6"/>
  <c r="R58" i="6"/>
  <c r="O58" i="6"/>
  <c r="L58" i="6"/>
  <c r="I58" i="6"/>
  <c r="F58" i="6"/>
  <c r="C58" i="6"/>
  <c r="AG57" i="6"/>
  <c r="AD57" i="6"/>
  <c r="AA57" i="6"/>
  <c r="X57" i="6"/>
  <c r="U57" i="6"/>
  <c r="R57" i="6"/>
  <c r="O57" i="6"/>
  <c r="L57" i="6"/>
  <c r="I57" i="6"/>
  <c r="F57" i="6"/>
  <c r="C57" i="6"/>
  <c r="AG56" i="6"/>
  <c r="AD56" i="6"/>
  <c r="AA56" i="6"/>
  <c r="X56" i="6"/>
  <c r="U56" i="6"/>
  <c r="R56" i="6"/>
  <c r="O56" i="6"/>
  <c r="L56" i="6"/>
  <c r="I56" i="6"/>
  <c r="F56" i="6"/>
  <c r="C56" i="6"/>
  <c r="AG55" i="6"/>
  <c r="AD55" i="6"/>
  <c r="AA55" i="6"/>
  <c r="X55" i="6"/>
  <c r="U55" i="6"/>
  <c r="R55" i="6"/>
  <c r="O55" i="6"/>
  <c r="L55" i="6"/>
  <c r="I55" i="6"/>
  <c r="F55" i="6"/>
  <c r="C55" i="6"/>
  <c r="AG54" i="6"/>
  <c r="AF54" i="6"/>
  <c r="AD54" i="6"/>
  <c r="AC54" i="6"/>
  <c r="AA54" i="6"/>
  <c r="Z54" i="6"/>
  <c r="X54" i="6"/>
  <c r="W54" i="6"/>
  <c r="U54" i="6"/>
  <c r="T54" i="6"/>
  <c r="R54" i="6"/>
  <c r="Q54" i="6"/>
  <c r="O54" i="6"/>
  <c r="N54" i="6"/>
  <c r="L54" i="6"/>
  <c r="K54" i="6"/>
  <c r="I54" i="6"/>
  <c r="H54" i="6"/>
  <c r="F54" i="6"/>
  <c r="E54" i="6"/>
  <c r="C54" i="6"/>
  <c r="B54" i="6"/>
  <c r="AG53" i="6"/>
  <c r="AF53" i="6"/>
  <c r="AD53" i="6"/>
  <c r="AC53" i="6"/>
  <c r="AA53" i="6"/>
  <c r="Z53" i="6"/>
  <c r="X53" i="6"/>
  <c r="W53" i="6"/>
  <c r="U53" i="6"/>
  <c r="T53" i="6"/>
  <c r="R53" i="6"/>
  <c r="Q53" i="6"/>
  <c r="O53" i="6"/>
  <c r="N53" i="6"/>
  <c r="L53" i="6"/>
  <c r="K53" i="6"/>
  <c r="I53" i="6"/>
  <c r="H53" i="6"/>
  <c r="F53" i="6"/>
  <c r="E53" i="6"/>
  <c r="C53" i="6"/>
  <c r="B53" i="6"/>
  <c r="AG52" i="6"/>
  <c r="AF52" i="6"/>
  <c r="AD52" i="6"/>
  <c r="AC52" i="6"/>
  <c r="AA52" i="6"/>
  <c r="Z52" i="6"/>
  <c r="X52" i="6"/>
  <c r="W52" i="6"/>
  <c r="U52" i="6"/>
  <c r="T52" i="6"/>
  <c r="R52" i="6"/>
  <c r="Q52" i="6"/>
  <c r="O52" i="6"/>
  <c r="N52" i="6"/>
  <c r="L52" i="6"/>
  <c r="K52" i="6"/>
  <c r="I52" i="6"/>
  <c r="H52" i="6"/>
  <c r="F52" i="6"/>
  <c r="E52" i="6"/>
  <c r="C52" i="6"/>
  <c r="B52" i="6"/>
  <c r="AG51" i="6"/>
  <c r="AF51" i="6"/>
  <c r="AD51" i="6"/>
  <c r="AC51" i="6"/>
  <c r="AA51" i="6"/>
  <c r="Z51" i="6"/>
  <c r="X51" i="6"/>
  <c r="W51" i="6"/>
  <c r="U51" i="6"/>
  <c r="T51" i="6"/>
  <c r="R51" i="6"/>
  <c r="Q51" i="6"/>
  <c r="O51" i="6"/>
  <c r="N51" i="6"/>
  <c r="L51" i="6"/>
  <c r="K51" i="6"/>
  <c r="I51" i="6"/>
  <c r="H51" i="6"/>
  <c r="F51" i="6"/>
  <c r="E51" i="6"/>
  <c r="C51" i="6"/>
  <c r="B51" i="6"/>
  <c r="AG48" i="6"/>
  <c r="AD48" i="6"/>
  <c r="AA48" i="6"/>
  <c r="X48" i="6"/>
  <c r="U48" i="6"/>
  <c r="R48" i="6"/>
  <c r="O48" i="6"/>
  <c r="L48" i="6"/>
  <c r="I48" i="6"/>
  <c r="F48" i="6"/>
  <c r="C48" i="6"/>
  <c r="AG47" i="6"/>
  <c r="AD47" i="6"/>
  <c r="AA47" i="6"/>
  <c r="X47" i="6"/>
  <c r="U47" i="6"/>
  <c r="R47" i="6"/>
  <c r="O47" i="6"/>
  <c r="L47" i="6"/>
  <c r="I47" i="6"/>
  <c r="F47" i="6"/>
  <c r="C47" i="6"/>
  <c r="AG46" i="6"/>
  <c r="AD46" i="6"/>
  <c r="AA46" i="6"/>
  <c r="X46" i="6"/>
  <c r="U46" i="6"/>
  <c r="R46" i="6"/>
  <c r="O46" i="6"/>
  <c r="L46" i="6"/>
  <c r="I46" i="6"/>
  <c r="F46" i="6"/>
  <c r="C46" i="6"/>
  <c r="AG45" i="6"/>
  <c r="AD45" i="6"/>
  <c r="AD49" i="6" s="1"/>
  <c r="AA45" i="6"/>
  <c r="X45" i="6"/>
  <c r="X49" i="6" s="1"/>
  <c r="U45" i="6"/>
  <c r="R45" i="6"/>
  <c r="O45" i="6"/>
  <c r="L45" i="6"/>
  <c r="I45" i="6"/>
  <c r="F45" i="6"/>
  <c r="F49" i="6" s="1"/>
  <c r="C45" i="6"/>
  <c r="AG44" i="6"/>
  <c r="AF44" i="6"/>
  <c r="AD44" i="6"/>
  <c r="AC44" i="6"/>
  <c r="AA44" i="6"/>
  <c r="Z44" i="6"/>
  <c r="X44" i="6"/>
  <c r="W44" i="6"/>
  <c r="U44" i="6"/>
  <c r="T44" i="6"/>
  <c r="R44" i="6"/>
  <c r="Q44" i="6"/>
  <c r="O44" i="6"/>
  <c r="N44" i="6"/>
  <c r="L44" i="6"/>
  <c r="K44" i="6"/>
  <c r="I44" i="6"/>
  <c r="H44" i="6"/>
  <c r="F44" i="6"/>
  <c r="E44" i="6"/>
  <c r="C44" i="6"/>
  <c r="B44" i="6"/>
  <c r="AG43" i="6"/>
  <c r="AF43" i="6"/>
  <c r="AD43" i="6"/>
  <c r="AC43" i="6"/>
  <c r="AA43" i="6"/>
  <c r="Z43" i="6"/>
  <c r="X43" i="6"/>
  <c r="W43" i="6"/>
  <c r="U43" i="6"/>
  <c r="T43" i="6"/>
  <c r="R43" i="6"/>
  <c r="Q43" i="6"/>
  <c r="O43" i="6"/>
  <c r="N43" i="6"/>
  <c r="L43" i="6"/>
  <c r="K43" i="6"/>
  <c r="I43" i="6"/>
  <c r="H43" i="6"/>
  <c r="F43" i="6"/>
  <c r="E43" i="6"/>
  <c r="C43" i="6"/>
  <c r="B43" i="6"/>
  <c r="AG42" i="6"/>
  <c r="AF42" i="6"/>
  <c r="AD42" i="6"/>
  <c r="AC42" i="6"/>
  <c r="AA42" i="6"/>
  <c r="Z42" i="6"/>
  <c r="X42" i="6"/>
  <c r="W42" i="6"/>
  <c r="U42" i="6"/>
  <c r="T42" i="6"/>
  <c r="R42" i="6"/>
  <c r="Q42" i="6"/>
  <c r="O42" i="6"/>
  <c r="N42" i="6"/>
  <c r="L42" i="6"/>
  <c r="K42" i="6"/>
  <c r="I42" i="6"/>
  <c r="H42" i="6"/>
  <c r="F42" i="6"/>
  <c r="E42" i="6"/>
  <c r="C42" i="6"/>
  <c r="B42" i="6"/>
  <c r="AG41" i="6"/>
  <c r="AF41" i="6"/>
  <c r="AD41" i="6"/>
  <c r="AC41" i="6"/>
  <c r="AA41" i="6"/>
  <c r="Z41" i="6"/>
  <c r="X41" i="6"/>
  <c r="W41" i="6"/>
  <c r="U41" i="6"/>
  <c r="T41" i="6"/>
  <c r="R41" i="6"/>
  <c r="Q41" i="6"/>
  <c r="O41" i="6"/>
  <c r="N41" i="6"/>
  <c r="L41" i="6"/>
  <c r="K41" i="6"/>
  <c r="I41" i="6"/>
  <c r="H41" i="6"/>
  <c r="F41" i="6"/>
  <c r="E41" i="6"/>
  <c r="C41" i="6"/>
  <c r="B41" i="6"/>
  <c r="AG38" i="6"/>
  <c r="AD38" i="6"/>
  <c r="AA38" i="6"/>
  <c r="X38" i="6"/>
  <c r="U38" i="6"/>
  <c r="R38" i="6"/>
  <c r="O38" i="6"/>
  <c r="L38" i="6"/>
  <c r="I38" i="6"/>
  <c r="F38" i="6"/>
  <c r="C38" i="6"/>
  <c r="AG37" i="6"/>
  <c r="AD37" i="6"/>
  <c r="AA37" i="6"/>
  <c r="X37" i="6"/>
  <c r="U37" i="6"/>
  <c r="R37" i="6"/>
  <c r="O37" i="6"/>
  <c r="L37" i="6"/>
  <c r="I37" i="6"/>
  <c r="F37" i="6"/>
  <c r="C37" i="6"/>
  <c r="AG36" i="6"/>
  <c r="AD36" i="6"/>
  <c r="AA36" i="6"/>
  <c r="X36" i="6"/>
  <c r="U36" i="6"/>
  <c r="R36" i="6"/>
  <c r="O36" i="6"/>
  <c r="L36" i="6"/>
  <c r="I36" i="6"/>
  <c r="F36" i="6"/>
  <c r="C36" i="6"/>
  <c r="AG35" i="6"/>
  <c r="AD35" i="6"/>
  <c r="AA35" i="6"/>
  <c r="X35" i="6"/>
  <c r="U35" i="6"/>
  <c r="R35" i="6"/>
  <c r="O35" i="6"/>
  <c r="L35" i="6"/>
  <c r="I35" i="6"/>
  <c r="F35" i="6"/>
  <c r="C35" i="6"/>
  <c r="AG34" i="6"/>
  <c r="AF34" i="6"/>
  <c r="AD34" i="6"/>
  <c r="AC34" i="6"/>
  <c r="AA34" i="6"/>
  <c r="Z34" i="6"/>
  <c r="X34" i="6"/>
  <c r="W34" i="6"/>
  <c r="U34" i="6"/>
  <c r="T34" i="6"/>
  <c r="R34" i="6"/>
  <c r="Q34" i="6"/>
  <c r="O34" i="6"/>
  <c r="N34" i="6"/>
  <c r="L34" i="6"/>
  <c r="K34" i="6"/>
  <c r="I34" i="6"/>
  <c r="H34" i="6"/>
  <c r="F34" i="6"/>
  <c r="E34" i="6"/>
  <c r="C34" i="6"/>
  <c r="B34" i="6"/>
  <c r="AG33" i="6"/>
  <c r="AF33" i="6"/>
  <c r="AD33" i="6"/>
  <c r="AC33" i="6"/>
  <c r="AA33" i="6"/>
  <c r="Z33" i="6"/>
  <c r="X33" i="6"/>
  <c r="W33" i="6"/>
  <c r="U33" i="6"/>
  <c r="T33" i="6"/>
  <c r="R33" i="6"/>
  <c r="Q33" i="6"/>
  <c r="O33" i="6"/>
  <c r="N33" i="6"/>
  <c r="L33" i="6"/>
  <c r="K33" i="6"/>
  <c r="I33" i="6"/>
  <c r="H33" i="6"/>
  <c r="F33" i="6"/>
  <c r="E33" i="6"/>
  <c r="C33" i="6"/>
  <c r="B33" i="6"/>
  <c r="AG32" i="6"/>
  <c r="AF32" i="6"/>
  <c r="AD32" i="6"/>
  <c r="AC32" i="6"/>
  <c r="AA32" i="6"/>
  <c r="Z32" i="6"/>
  <c r="X32" i="6"/>
  <c r="W32" i="6"/>
  <c r="U32" i="6"/>
  <c r="T32" i="6"/>
  <c r="R32" i="6"/>
  <c r="Q32" i="6"/>
  <c r="O32" i="6"/>
  <c r="N32" i="6"/>
  <c r="L32" i="6"/>
  <c r="K32" i="6"/>
  <c r="I32" i="6"/>
  <c r="H32" i="6"/>
  <c r="F32" i="6"/>
  <c r="E32" i="6"/>
  <c r="C32" i="6"/>
  <c r="B32" i="6"/>
  <c r="AG31" i="6"/>
  <c r="AF31" i="6"/>
  <c r="AD31" i="6"/>
  <c r="AC31" i="6"/>
  <c r="AA31" i="6"/>
  <c r="Z31" i="6"/>
  <c r="X31" i="6"/>
  <c r="W31" i="6"/>
  <c r="U31" i="6"/>
  <c r="T31" i="6"/>
  <c r="R31" i="6"/>
  <c r="Q31" i="6"/>
  <c r="O31" i="6"/>
  <c r="N31" i="6"/>
  <c r="L31" i="6"/>
  <c r="K31" i="6"/>
  <c r="I31" i="6"/>
  <c r="H31" i="6"/>
  <c r="F31" i="6"/>
  <c r="E31" i="6"/>
  <c r="C31" i="6"/>
  <c r="B31" i="6"/>
  <c r="AG29" i="6"/>
  <c r="AD29" i="6"/>
  <c r="AA29" i="6"/>
  <c r="X29" i="6"/>
  <c r="U29" i="6"/>
  <c r="R29" i="6"/>
  <c r="O29" i="6"/>
  <c r="L29" i="6"/>
  <c r="I29" i="6"/>
  <c r="F29" i="6"/>
  <c r="C29" i="6"/>
  <c r="AG28" i="6"/>
  <c r="AD28" i="6"/>
  <c r="AA28" i="6"/>
  <c r="X28" i="6"/>
  <c r="U28" i="6"/>
  <c r="R28" i="6"/>
  <c r="O28" i="6"/>
  <c r="L28" i="6"/>
  <c r="I28" i="6"/>
  <c r="F28" i="6"/>
  <c r="C28" i="6"/>
  <c r="AG27" i="6"/>
  <c r="AD27" i="6"/>
  <c r="AA27" i="6"/>
  <c r="X27" i="6"/>
  <c r="U27" i="6"/>
  <c r="R27" i="6"/>
  <c r="O27" i="6"/>
  <c r="L27" i="6"/>
  <c r="I27" i="6"/>
  <c r="F27" i="6"/>
  <c r="C27" i="6"/>
  <c r="AG26" i="6"/>
  <c r="AD26" i="6"/>
  <c r="AA26" i="6"/>
  <c r="X26" i="6"/>
  <c r="U26" i="6"/>
  <c r="R26" i="6"/>
  <c r="O26" i="6"/>
  <c r="L26" i="6"/>
  <c r="I26" i="6"/>
  <c r="F26" i="6"/>
  <c r="C26" i="6"/>
  <c r="AG25" i="6"/>
  <c r="AF25" i="6"/>
  <c r="AD25" i="6"/>
  <c r="AC25" i="6"/>
  <c r="AA25" i="6"/>
  <c r="Z25" i="6"/>
  <c r="X25" i="6"/>
  <c r="W25" i="6"/>
  <c r="U25" i="6"/>
  <c r="T25" i="6"/>
  <c r="R25" i="6"/>
  <c r="Q25" i="6"/>
  <c r="O25" i="6"/>
  <c r="N25" i="6"/>
  <c r="L25" i="6"/>
  <c r="K25" i="6"/>
  <c r="I25" i="6"/>
  <c r="H25" i="6"/>
  <c r="F25" i="6"/>
  <c r="E25" i="6"/>
  <c r="C25" i="6"/>
  <c r="B25" i="6"/>
  <c r="AG24" i="6"/>
  <c r="AF24" i="6"/>
  <c r="AD24" i="6"/>
  <c r="AC24" i="6"/>
  <c r="AA24" i="6"/>
  <c r="Z24" i="6"/>
  <c r="X24" i="6"/>
  <c r="W24" i="6"/>
  <c r="U24" i="6"/>
  <c r="T24" i="6"/>
  <c r="R24" i="6"/>
  <c r="Q24" i="6"/>
  <c r="O24" i="6"/>
  <c r="N24" i="6"/>
  <c r="L24" i="6"/>
  <c r="K24" i="6"/>
  <c r="I24" i="6"/>
  <c r="H24" i="6"/>
  <c r="F24" i="6"/>
  <c r="E24" i="6"/>
  <c r="C24" i="6"/>
  <c r="B24" i="6"/>
  <c r="AG23" i="6"/>
  <c r="AF23" i="6"/>
  <c r="AD23" i="6"/>
  <c r="AC23" i="6"/>
  <c r="AA23" i="6"/>
  <c r="Z23" i="6"/>
  <c r="X23" i="6"/>
  <c r="W23" i="6"/>
  <c r="U23" i="6"/>
  <c r="T23" i="6"/>
  <c r="R23" i="6"/>
  <c r="Q23" i="6"/>
  <c r="O23" i="6"/>
  <c r="N23" i="6"/>
  <c r="L23" i="6"/>
  <c r="K23" i="6"/>
  <c r="I23" i="6"/>
  <c r="H23" i="6"/>
  <c r="F23" i="6"/>
  <c r="E23" i="6"/>
  <c r="C23" i="6"/>
  <c r="B23" i="6"/>
  <c r="AG22" i="6"/>
  <c r="AF22" i="6"/>
  <c r="AD22" i="6"/>
  <c r="AC22" i="6"/>
  <c r="AA22" i="6"/>
  <c r="Z22" i="6"/>
  <c r="X22" i="6"/>
  <c r="W22" i="6"/>
  <c r="U22" i="6"/>
  <c r="T22" i="6"/>
  <c r="R22" i="6"/>
  <c r="Q22" i="6"/>
  <c r="O22" i="6"/>
  <c r="N22" i="6"/>
  <c r="L22" i="6"/>
  <c r="K22" i="6"/>
  <c r="I22" i="6"/>
  <c r="H22" i="6"/>
  <c r="F22" i="6"/>
  <c r="E22" i="6"/>
  <c r="C22" i="6"/>
  <c r="B22" i="6"/>
  <c r="AG19" i="6"/>
  <c r="AD19" i="6"/>
  <c r="AA19" i="6"/>
  <c r="X19" i="6"/>
  <c r="U19" i="6"/>
  <c r="R19" i="6"/>
  <c r="O19" i="6"/>
  <c r="L19" i="6"/>
  <c r="I19" i="6"/>
  <c r="F19" i="6"/>
  <c r="C19" i="6"/>
  <c r="AG18" i="6"/>
  <c r="AD18" i="6"/>
  <c r="AA18" i="6"/>
  <c r="X18" i="6"/>
  <c r="U18" i="6"/>
  <c r="R18" i="6"/>
  <c r="O18" i="6"/>
  <c r="L18" i="6"/>
  <c r="I18" i="6"/>
  <c r="F18" i="6"/>
  <c r="C18" i="6"/>
  <c r="AG17" i="6"/>
  <c r="AD17" i="6"/>
  <c r="AA17" i="6"/>
  <c r="X17" i="6"/>
  <c r="U17" i="6"/>
  <c r="R17" i="6"/>
  <c r="O17" i="6"/>
  <c r="L17" i="6"/>
  <c r="I17" i="6"/>
  <c r="F17" i="6"/>
  <c r="C17" i="6"/>
  <c r="AG16" i="6"/>
  <c r="AD16" i="6"/>
  <c r="AA16" i="6"/>
  <c r="X16" i="6"/>
  <c r="U16" i="6"/>
  <c r="R16" i="6"/>
  <c r="O16" i="6"/>
  <c r="L16" i="6"/>
  <c r="I16" i="6"/>
  <c r="F16" i="6"/>
  <c r="C16" i="6"/>
  <c r="AG15" i="6"/>
  <c r="AF15" i="6"/>
  <c r="AD15" i="6"/>
  <c r="AC15" i="6"/>
  <c r="AA15" i="6"/>
  <c r="Z15" i="6"/>
  <c r="X15" i="6"/>
  <c r="W15" i="6"/>
  <c r="U15" i="6"/>
  <c r="T15" i="6"/>
  <c r="R15" i="6"/>
  <c r="Q15" i="6"/>
  <c r="O15" i="6"/>
  <c r="N15" i="6"/>
  <c r="L15" i="6"/>
  <c r="K15" i="6"/>
  <c r="I15" i="6"/>
  <c r="H15" i="6"/>
  <c r="F15" i="6"/>
  <c r="E15" i="6"/>
  <c r="C15" i="6"/>
  <c r="B15" i="6"/>
  <c r="AG14" i="6"/>
  <c r="AF14" i="6"/>
  <c r="AD14" i="6"/>
  <c r="AC14" i="6"/>
  <c r="AA14" i="6"/>
  <c r="Z14" i="6"/>
  <c r="X14" i="6"/>
  <c r="W14" i="6"/>
  <c r="U14" i="6"/>
  <c r="T14" i="6"/>
  <c r="R14" i="6"/>
  <c r="Q14" i="6"/>
  <c r="O14" i="6"/>
  <c r="N14" i="6"/>
  <c r="L14" i="6"/>
  <c r="K14" i="6"/>
  <c r="I14" i="6"/>
  <c r="H14" i="6"/>
  <c r="F14" i="6"/>
  <c r="E14" i="6"/>
  <c r="C14" i="6"/>
  <c r="B14" i="6"/>
  <c r="AG13" i="6"/>
  <c r="AF13" i="6"/>
  <c r="AD13" i="6"/>
  <c r="AC13" i="6"/>
  <c r="AA13" i="6"/>
  <c r="Z13" i="6"/>
  <c r="X13" i="6"/>
  <c r="W13" i="6"/>
  <c r="U13" i="6"/>
  <c r="T13" i="6"/>
  <c r="R13" i="6"/>
  <c r="Q13" i="6"/>
  <c r="O13" i="6"/>
  <c r="N13" i="6"/>
  <c r="L13" i="6"/>
  <c r="K13" i="6"/>
  <c r="I13" i="6"/>
  <c r="H13" i="6"/>
  <c r="F13" i="6"/>
  <c r="E13" i="6"/>
  <c r="C13" i="6"/>
  <c r="B13" i="6"/>
  <c r="AG12" i="6"/>
  <c r="AF12" i="6"/>
  <c r="AD12" i="6"/>
  <c r="AC12" i="6"/>
  <c r="AA12" i="6"/>
  <c r="Z12" i="6"/>
  <c r="X12" i="6"/>
  <c r="W12" i="6"/>
  <c r="U12" i="6"/>
  <c r="T12" i="6"/>
  <c r="R12" i="6"/>
  <c r="Q12" i="6"/>
  <c r="O12" i="6"/>
  <c r="N12" i="6"/>
  <c r="L12" i="6"/>
  <c r="K12" i="6"/>
  <c r="I12" i="6"/>
  <c r="H12" i="6"/>
  <c r="F12" i="6"/>
  <c r="E12" i="6"/>
  <c r="C12" i="6"/>
  <c r="B12" i="6"/>
  <c r="AG5" i="6"/>
  <c r="AF5" i="6"/>
  <c r="AD5" i="6"/>
  <c r="AC5" i="6"/>
  <c r="AA5" i="6"/>
  <c r="Z5" i="6"/>
  <c r="X5" i="6"/>
  <c r="W5" i="6"/>
  <c r="U5" i="6"/>
  <c r="T5" i="6"/>
  <c r="R5" i="6"/>
  <c r="Q5" i="6"/>
  <c r="O5" i="6"/>
  <c r="N5" i="6"/>
  <c r="L5" i="6"/>
  <c r="K5" i="6"/>
  <c r="I5" i="6"/>
  <c r="H5" i="6"/>
  <c r="F5" i="6"/>
  <c r="E5" i="6"/>
  <c r="C5" i="6"/>
  <c r="B5" i="6"/>
  <c r="AG4" i="6"/>
  <c r="AF4" i="6"/>
  <c r="AD4" i="6"/>
  <c r="AC4" i="6"/>
  <c r="AA4" i="6"/>
  <c r="Z4" i="6"/>
  <c r="X4" i="6"/>
  <c r="W4" i="6"/>
  <c r="U4" i="6"/>
  <c r="T4" i="6"/>
  <c r="R4" i="6"/>
  <c r="Q4" i="6"/>
  <c r="O4" i="6"/>
  <c r="N4" i="6"/>
  <c r="L4" i="6"/>
  <c r="K4" i="6"/>
  <c r="I4" i="6"/>
  <c r="H4" i="6"/>
  <c r="F4" i="6"/>
  <c r="E4" i="6"/>
  <c r="C4" i="6"/>
  <c r="B4" i="6"/>
  <c r="AG3" i="6"/>
  <c r="AF3" i="6"/>
  <c r="AD3" i="6"/>
  <c r="AC3" i="6"/>
  <c r="AA3" i="6"/>
  <c r="Z3" i="6"/>
  <c r="X3" i="6"/>
  <c r="W3" i="6"/>
  <c r="U3" i="6"/>
  <c r="T3" i="6"/>
  <c r="R3" i="6"/>
  <c r="Q3" i="6"/>
  <c r="O3" i="6"/>
  <c r="N3" i="6"/>
  <c r="L3" i="6"/>
  <c r="K3" i="6"/>
  <c r="I3" i="6"/>
  <c r="H3" i="6"/>
  <c r="F3" i="6"/>
  <c r="E3" i="6"/>
  <c r="C3" i="6"/>
  <c r="B3" i="6"/>
  <c r="AG2" i="6"/>
  <c r="AF2" i="6"/>
  <c r="AD2" i="6"/>
  <c r="AC2" i="6"/>
  <c r="AA2" i="6"/>
  <c r="Z2" i="6"/>
  <c r="X2" i="6"/>
  <c r="W2" i="6"/>
  <c r="U2" i="6"/>
  <c r="T2" i="6"/>
  <c r="R2" i="6"/>
  <c r="Q2" i="6"/>
  <c r="O2" i="6"/>
  <c r="N2" i="6"/>
  <c r="L2" i="6"/>
  <c r="K2" i="6"/>
  <c r="I2" i="6"/>
  <c r="H2" i="6"/>
  <c r="F2" i="6"/>
  <c r="E2" i="6"/>
  <c r="C2" i="6"/>
  <c r="B2" i="6"/>
  <c r="E37" i="3"/>
  <c r="A62" i="3"/>
  <c r="A61" i="3"/>
  <c r="A60" i="3"/>
  <c r="AD66" i="3"/>
  <c r="AD67" i="3"/>
  <c r="AD68" i="3"/>
  <c r="AD69" i="3"/>
  <c r="AD70" i="3"/>
  <c r="AD71" i="3"/>
  <c r="AD72" i="3"/>
  <c r="AD73" i="3"/>
  <c r="AC69" i="3"/>
  <c r="AC73" i="3" s="1"/>
  <c r="AC68" i="3"/>
  <c r="AC67" i="3"/>
  <c r="AC66" i="3"/>
  <c r="AC70" i="3" s="1"/>
  <c r="AA69" i="3"/>
  <c r="Z69" i="3"/>
  <c r="Z73" i="3" s="1"/>
  <c r="AA68" i="3"/>
  <c r="Z68" i="3"/>
  <c r="AA67" i="3"/>
  <c r="Z67" i="3"/>
  <c r="Z71" i="3" s="1"/>
  <c r="AA66" i="3"/>
  <c r="Z66" i="3"/>
  <c r="Z70" i="3" s="1"/>
  <c r="X69" i="3"/>
  <c r="W69" i="3"/>
  <c r="X68" i="3"/>
  <c r="W68" i="3"/>
  <c r="X67" i="3"/>
  <c r="W67" i="3"/>
  <c r="W71" i="3" s="1"/>
  <c r="X66" i="3"/>
  <c r="W66" i="3"/>
  <c r="W70" i="3" s="1"/>
  <c r="U69" i="3"/>
  <c r="T69" i="3"/>
  <c r="T73" i="3" s="1"/>
  <c r="U68" i="3"/>
  <c r="T68" i="3"/>
  <c r="U67" i="3"/>
  <c r="T67" i="3"/>
  <c r="T71" i="3" s="1"/>
  <c r="U66" i="3"/>
  <c r="T66" i="3"/>
  <c r="T70" i="3" s="1"/>
  <c r="R69" i="3"/>
  <c r="Q69" i="3"/>
  <c r="R68" i="3"/>
  <c r="Q68" i="3"/>
  <c r="R67" i="3"/>
  <c r="Q67" i="3"/>
  <c r="Q71" i="3" s="1"/>
  <c r="R66" i="3"/>
  <c r="Q66" i="3"/>
  <c r="Q70" i="3" s="1"/>
  <c r="O69" i="3"/>
  <c r="N69" i="3"/>
  <c r="N73" i="3" s="1"/>
  <c r="O68" i="3"/>
  <c r="N68" i="3"/>
  <c r="O67" i="3"/>
  <c r="N67" i="3"/>
  <c r="N71" i="3" s="1"/>
  <c r="O66" i="3"/>
  <c r="N66" i="3"/>
  <c r="N70" i="3" s="1"/>
  <c r="L69" i="3"/>
  <c r="K69" i="3"/>
  <c r="L68" i="3"/>
  <c r="K68" i="3"/>
  <c r="L67" i="3"/>
  <c r="K67" i="3"/>
  <c r="K71" i="3" s="1"/>
  <c r="L66" i="3"/>
  <c r="K66" i="3"/>
  <c r="K70" i="3" s="1"/>
  <c r="I69" i="3"/>
  <c r="H69" i="3"/>
  <c r="H73" i="3" s="1"/>
  <c r="I68" i="3"/>
  <c r="H68" i="3"/>
  <c r="I67" i="3"/>
  <c r="H67" i="3"/>
  <c r="H71" i="3" s="1"/>
  <c r="I66" i="3"/>
  <c r="H66" i="3"/>
  <c r="H70" i="3" s="1"/>
  <c r="F69" i="3"/>
  <c r="E69" i="3"/>
  <c r="F68" i="3"/>
  <c r="E68" i="3"/>
  <c r="F67" i="3"/>
  <c r="E67" i="3"/>
  <c r="E71" i="3" s="1"/>
  <c r="F66" i="3"/>
  <c r="E66" i="3"/>
  <c r="E70" i="3" s="1"/>
  <c r="C69" i="3"/>
  <c r="B69" i="3"/>
  <c r="C68" i="3"/>
  <c r="B68" i="3"/>
  <c r="C67" i="3"/>
  <c r="B67" i="3"/>
  <c r="B71" i="3" s="1"/>
  <c r="C66" i="3"/>
  <c r="B66" i="3"/>
  <c r="AG54" i="3"/>
  <c r="AF54" i="3"/>
  <c r="AG53" i="3"/>
  <c r="AF53" i="3"/>
  <c r="AG52" i="3"/>
  <c r="AF52" i="3"/>
  <c r="AG51" i="3"/>
  <c r="AF51" i="3"/>
  <c r="AD54" i="3"/>
  <c r="AC54" i="3"/>
  <c r="AD53" i="3"/>
  <c r="AC53" i="3"/>
  <c r="AD52" i="3"/>
  <c r="AC52" i="3"/>
  <c r="AD51" i="3"/>
  <c r="AC51" i="3"/>
  <c r="AA54" i="3"/>
  <c r="Z54" i="3"/>
  <c r="AA53" i="3"/>
  <c r="Z53" i="3"/>
  <c r="AA52" i="3"/>
  <c r="Z52" i="3"/>
  <c r="AA51" i="3"/>
  <c r="Z51" i="3"/>
  <c r="X54" i="3"/>
  <c r="W54" i="3"/>
  <c r="X53" i="3"/>
  <c r="W53" i="3"/>
  <c r="X52" i="3"/>
  <c r="W52" i="3"/>
  <c r="X51" i="3"/>
  <c r="W51" i="3"/>
  <c r="U54" i="3"/>
  <c r="T54" i="3"/>
  <c r="U53" i="3"/>
  <c r="T53" i="3"/>
  <c r="U52" i="3"/>
  <c r="T52" i="3"/>
  <c r="U51" i="3"/>
  <c r="T51" i="3"/>
  <c r="R54" i="3"/>
  <c r="Q54" i="3"/>
  <c r="R53" i="3"/>
  <c r="Q53" i="3"/>
  <c r="R52" i="3"/>
  <c r="Q52" i="3"/>
  <c r="R51" i="3"/>
  <c r="Q51" i="3"/>
  <c r="O54" i="3"/>
  <c r="N54" i="3"/>
  <c r="O53" i="3"/>
  <c r="N53" i="3"/>
  <c r="O52" i="3"/>
  <c r="N52" i="3"/>
  <c r="O51" i="3"/>
  <c r="N51" i="3"/>
  <c r="L54" i="3"/>
  <c r="K54" i="3"/>
  <c r="L53" i="3"/>
  <c r="K53" i="3"/>
  <c r="L52" i="3"/>
  <c r="K52" i="3"/>
  <c r="L51" i="3"/>
  <c r="K51" i="3"/>
  <c r="I54" i="3"/>
  <c r="H54" i="3"/>
  <c r="I53" i="3"/>
  <c r="H53" i="3"/>
  <c r="I52" i="3"/>
  <c r="H52" i="3"/>
  <c r="I51" i="3"/>
  <c r="H51" i="3"/>
  <c r="F54" i="3"/>
  <c r="E54" i="3"/>
  <c r="F53" i="3"/>
  <c r="E53" i="3"/>
  <c r="F52" i="3"/>
  <c r="E52" i="3"/>
  <c r="F51" i="3"/>
  <c r="E51" i="3"/>
  <c r="C54" i="3"/>
  <c r="B54" i="3"/>
  <c r="C53" i="3"/>
  <c r="B53" i="3"/>
  <c r="C52" i="3"/>
  <c r="B52" i="3"/>
  <c r="B56" i="3" s="1"/>
  <c r="C51" i="3"/>
  <c r="B51" i="3"/>
  <c r="C44" i="3"/>
  <c r="B44" i="3"/>
  <c r="C43" i="3"/>
  <c r="B43" i="3"/>
  <c r="C42" i="3"/>
  <c r="B42" i="3"/>
  <c r="C41" i="3"/>
  <c r="B41" i="3"/>
  <c r="F44" i="3"/>
  <c r="E44" i="3"/>
  <c r="F43" i="3"/>
  <c r="E43" i="3"/>
  <c r="F42" i="3"/>
  <c r="E42" i="3"/>
  <c r="F41" i="3"/>
  <c r="E41" i="3"/>
  <c r="I44" i="3"/>
  <c r="H44" i="3"/>
  <c r="I43" i="3"/>
  <c r="H43" i="3"/>
  <c r="I42" i="3"/>
  <c r="H42" i="3"/>
  <c r="I41" i="3"/>
  <c r="H41" i="3"/>
  <c r="L44" i="3"/>
  <c r="K44" i="3"/>
  <c r="L43" i="3"/>
  <c r="K43" i="3"/>
  <c r="L42" i="3"/>
  <c r="K42" i="3"/>
  <c r="L41" i="3"/>
  <c r="K41" i="3"/>
  <c r="O44" i="3"/>
  <c r="N44" i="3"/>
  <c r="O43" i="3"/>
  <c r="N43" i="3"/>
  <c r="O42" i="3"/>
  <c r="N42" i="3"/>
  <c r="O41" i="3"/>
  <c r="N41" i="3"/>
  <c r="R44" i="3"/>
  <c r="Q44" i="3"/>
  <c r="R43" i="3"/>
  <c r="Q43" i="3"/>
  <c r="R42" i="3"/>
  <c r="Q42" i="3"/>
  <c r="R41" i="3"/>
  <c r="Q41" i="3"/>
  <c r="U44" i="3"/>
  <c r="T44" i="3"/>
  <c r="U43" i="3"/>
  <c r="T43" i="3"/>
  <c r="U42" i="3"/>
  <c r="T42" i="3"/>
  <c r="U41" i="3"/>
  <c r="T41" i="3"/>
  <c r="X44" i="3"/>
  <c r="W44" i="3"/>
  <c r="X43" i="3"/>
  <c r="W43" i="3"/>
  <c r="X42" i="3"/>
  <c r="W42" i="3"/>
  <c r="X41" i="3"/>
  <c r="W41" i="3"/>
  <c r="AA44" i="3"/>
  <c r="Z44" i="3"/>
  <c r="AA43" i="3"/>
  <c r="Z43" i="3"/>
  <c r="AA42" i="3"/>
  <c r="Z42" i="3"/>
  <c r="AA41" i="3"/>
  <c r="Z41" i="3"/>
  <c r="AD44" i="3"/>
  <c r="AC44" i="3"/>
  <c r="AD43" i="3"/>
  <c r="AC43" i="3"/>
  <c r="AD42" i="3"/>
  <c r="AC42" i="3"/>
  <c r="AD41" i="3"/>
  <c r="AC41" i="3"/>
  <c r="AG44" i="3"/>
  <c r="AF44" i="3"/>
  <c r="AG43" i="3"/>
  <c r="AF43" i="3"/>
  <c r="AG42" i="3"/>
  <c r="AF42" i="3"/>
  <c r="AG41" i="3"/>
  <c r="AF41" i="3"/>
  <c r="AG34" i="3"/>
  <c r="AF34" i="3"/>
  <c r="AG33" i="3"/>
  <c r="AF33" i="3"/>
  <c r="AG32" i="3"/>
  <c r="AF32" i="3"/>
  <c r="AG31" i="3"/>
  <c r="AF31" i="3"/>
  <c r="AD34" i="3"/>
  <c r="AC34" i="3"/>
  <c r="AD33" i="3"/>
  <c r="AC33" i="3"/>
  <c r="AD32" i="3"/>
  <c r="AC32" i="3"/>
  <c r="AD31" i="3"/>
  <c r="AC31" i="3"/>
  <c r="AA34" i="3"/>
  <c r="Z34" i="3"/>
  <c r="AA33" i="3"/>
  <c r="Z33" i="3"/>
  <c r="AA32" i="3"/>
  <c r="Z32" i="3"/>
  <c r="AA31" i="3"/>
  <c r="Z31" i="3"/>
  <c r="X34" i="3"/>
  <c r="W34" i="3"/>
  <c r="X33" i="3"/>
  <c r="W33" i="3"/>
  <c r="X32" i="3"/>
  <c r="W32" i="3"/>
  <c r="X31" i="3"/>
  <c r="W31" i="3"/>
  <c r="U34" i="3"/>
  <c r="T34" i="3"/>
  <c r="U33" i="3"/>
  <c r="T33" i="3"/>
  <c r="U32" i="3"/>
  <c r="T32" i="3"/>
  <c r="U31" i="3"/>
  <c r="T31" i="3"/>
  <c r="R34" i="3"/>
  <c r="Q34" i="3"/>
  <c r="R33" i="3"/>
  <c r="Q33" i="3"/>
  <c r="R32" i="3"/>
  <c r="Q32" i="3"/>
  <c r="R31" i="3"/>
  <c r="Q31" i="3"/>
  <c r="O34" i="3"/>
  <c r="N34" i="3"/>
  <c r="O33" i="3"/>
  <c r="N33" i="3"/>
  <c r="O32" i="3"/>
  <c r="N32" i="3"/>
  <c r="O31" i="3"/>
  <c r="N31" i="3"/>
  <c r="L34" i="3"/>
  <c r="K34" i="3"/>
  <c r="L33" i="3"/>
  <c r="K33" i="3"/>
  <c r="L32" i="3"/>
  <c r="K32" i="3"/>
  <c r="L31" i="3"/>
  <c r="K31" i="3"/>
  <c r="I34" i="3"/>
  <c r="H34" i="3"/>
  <c r="I33" i="3"/>
  <c r="H33" i="3"/>
  <c r="I32" i="3"/>
  <c r="H32" i="3"/>
  <c r="I31" i="3"/>
  <c r="H31" i="3"/>
  <c r="F34" i="3"/>
  <c r="E34" i="3"/>
  <c r="F33" i="3"/>
  <c r="E33" i="3"/>
  <c r="F32" i="3"/>
  <c r="E32" i="3"/>
  <c r="F31" i="3"/>
  <c r="E31" i="3"/>
  <c r="C34" i="3"/>
  <c r="B34" i="3"/>
  <c r="C33" i="3"/>
  <c r="B33" i="3"/>
  <c r="C32" i="3"/>
  <c r="B32" i="3"/>
  <c r="C31" i="3"/>
  <c r="B31" i="3"/>
  <c r="AG15" i="3"/>
  <c r="AF15" i="3"/>
  <c r="AG14" i="3"/>
  <c r="AF14" i="3"/>
  <c r="AG13" i="3"/>
  <c r="AF13" i="3"/>
  <c r="AG12" i="3"/>
  <c r="AF12" i="3"/>
  <c r="AD15" i="3"/>
  <c r="AC15" i="3"/>
  <c r="AD14" i="3"/>
  <c r="AC14" i="3"/>
  <c r="AD13" i="3"/>
  <c r="AC13" i="3"/>
  <c r="AD12" i="3"/>
  <c r="AC12" i="3"/>
  <c r="AA15" i="3"/>
  <c r="Z15" i="3"/>
  <c r="AA14" i="3"/>
  <c r="Z14" i="3"/>
  <c r="Z18" i="3" s="1"/>
  <c r="AA13" i="3"/>
  <c r="Z13" i="3"/>
  <c r="AA12" i="3"/>
  <c r="Z12" i="3"/>
  <c r="X15" i="3"/>
  <c r="W15" i="3"/>
  <c r="X14" i="3"/>
  <c r="W14" i="3"/>
  <c r="X13" i="3"/>
  <c r="W13" i="3"/>
  <c r="X12" i="3"/>
  <c r="W12" i="3"/>
  <c r="U15" i="3"/>
  <c r="T15" i="3"/>
  <c r="U14" i="3"/>
  <c r="T14" i="3"/>
  <c r="U13" i="3"/>
  <c r="T13" i="3"/>
  <c r="U12" i="3"/>
  <c r="T12" i="3"/>
  <c r="R15" i="3"/>
  <c r="Q15" i="3"/>
  <c r="R14" i="3"/>
  <c r="Q14" i="3"/>
  <c r="R13" i="3"/>
  <c r="Q13" i="3"/>
  <c r="R12" i="3"/>
  <c r="Q12" i="3"/>
  <c r="O15" i="3"/>
  <c r="N15" i="3"/>
  <c r="O14" i="3"/>
  <c r="N14" i="3"/>
  <c r="O13" i="3"/>
  <c r="N13" i="3"/>
  <c r="O12" i="3"/>
  <c r="N12" i="3"/>
  <c r="L15" i="3"/>
  <c r="K15" i="3"/>
  <c r="L14" i="3"/>
  <c r="K14" i="3"/>
  <c r="L13" i="3"/>
  <c r="K13" i="3"/>
  <c r="L12" i="3"/>
  <c r="K12" i="3"/>
  <c r="I15" i="3"/>
  <c r="H15" i="3"/>
  <c r="I14" i="3"/>
  <c r="H14" i="3"/>
  <c r="I13" i="3"/>
  <c r="H13" i="3"/>
  <c r="I12" i="3"/>
  <c r="H12" i="3"/>
  <c r="F15" i="3"/>
  <c r="E15" i="3"/>
  <c r="F14" i="3"/>
  <c r="E14" i="3"/>
  <c r="F13" i="3"/>
  <c r="E13" i="3"/>
  <c r="F12" i="3"/>
  <c r="E12" i="3"/>
  <c r="C15" i="3"/>
  <c r="B15" i="3"/>
  <c r="C14" i="3"/>
  <c r="B14" i="3"/>
  <c r="C13" i="3"/>
  <c r="B13" i="3"/>
  <c r="C12" i="3"/>
  <c r="B12" i="3"/>
  <c r="AG5" i="3"/>
  <c r="AF5" i="3"/>
  <c r="AG4" i="3"/>
  <c r="AF4" i="3"/>
  <c r="AG3" i="3"/>
  <c r="AF3" i="3"/>
  <c r="AG2" i="3"/>
  <c r="AF2" i="3"/>
  <c r="AD5" i="3"/>
  <c r="AC5" i="3"/>
  <c r="AD4" i="3"/>
  <c r="AC18" i="3" s="1"/>
  <c r="AC4" i="3"/>
  <c r="AD3" i="3"/>
  <c r="AC3" i="3"/>
  <c r="AC71" i="3" s="1"/>
  <c r="AD2" i="3"/>
  <c r="AC2" i="3"/>
  <c r="AA5" i="3"/>
  <c r="Z5" i="3"/>
  <c r="AA4" i="3"/>
  <c r="Z72" i="3" s="1"/>
  <c r="Z4" i="3"/>
  <c r="AA3" i="3"/>
  <c r="Z3" i="3"/>
  <c r="AA2" i="3"/>
  <c r="Z2" i="3"/>
  <c r="X5" i="3"/>
  <c r="W73" i="3" s="1"/>
  <c r="W5" i="3"/>
  <c r="X4" i="3"/>
  <c r="W4" i="3"/>
  <c r="W72" i="3" s="1"/>
  <c r="X3" i="3"/>
  <c r="W3" i="3"/>
  <c r="X2" i="3"/>
  <c r="W2" i="3"/>
  <c r="U5" i="3"/>
  <c r="T5" i="3"/>
  <c r="U4" i="3"/>
  <c r="T72" i="3" s="1"/>
  <c r="T4" i="3"/>
  <c r="U3" i="3"/>
  <c r="T3" i="3"/>
  <c r="U2" i="3"/>
  <c r="T2" i="3"/>
  <c r="R5" i="3"/>
  <c r="Q38" i="3" s="1"/>
  <c r="Q5" i="3"/>
  <c r="R4" i="3"/>
  <c r="Q4" i="3"/>
  <c r="Q72" i="3" s="1"/>
  <c r="R3" i="3"/>
  <c r="Q3" i="3"/>
  <c r="R2" i="3"/>
  <c r="Q2" i="3"/>
  <c r="O5" i="3"/>
  <c r="N5" i="3"/>
  <c r="O4" i="3"/>
  <c r="N72" i="3" s="1"/>
  <c r="N4" i="3"/>
  <c r="O3" i="3"/>
  <c r="N3" i="3"/>
  <c r="O2" i="3"/>
  <c r="N2" i="3"/>
  <c r="L5" i="3"/>
  <c r="K73" i="3" s="1"/>
  <c r="K5" i="3"/>
  <c r="L4" i="3"/>
  <c r="K4" i="3"/>
  <c r="K72" i="3" s="1"/>
  <c r="L3" i="3"/>
  <c r="K3" i="3"/>
  <c r="L2" i="3"/>
  <c r="K2" i="3"/>
  <c r="I5" i="3"/>
  <c r="H5" i="3"/>
  <c r="I4" i="3"/>
  <c r="H72" i="3" s="1"/>
  <c r="H4" i="3"/>
  <c r="I3" i="3"/>
  <c r="H3" i="3"/>
  <c r="I2" i="3"/>
  <c r="H2" i="3"/>
  <c r="F5" i="3"/>
  <c r="E29" i="3" s="1"/>
  <c r="E5" i="3"/>
  <c r="F4" i="3"/>
  <c r="E4" i="3"/>
  <c r="E72" i="3" s="1"/>
  <c r="F3" i="3"/>
  <c r="E3" i="3"/>
  <c r="F2" i="3"/>
  <c r="E2" i="3"/>
  <c r="B5" i="3"/>
  <c r="C4" i="3"/>
  <c r="B4" i="3"/>
  <c r="B3" i="3"/>
  <c r="B2" i="3"/>
  <c r="AA73" i="3"/>
  <c r="AA72" i="3"/>
  <c r="AA71" i="3"/>
  <c r="AA74" i="3" s="1"/>
  <c r="AA70" i="3"/>
  <c r="X73" i="3"/>
  <c r="X74" i="3" s="1"/>
  <c r="X72" i="3"/>
  <c r="X71" i="3"/>
  <c r="X70" i="3"/>
  <c r="U73" i="3"/>
  <c r="U72" i="3"/>
  <c r="U71" i="3"/>
  <c r="U70" i="3"/>
  <c r="U74" i="3" s="1"/>
  <c r="R73" i="3"/>
  <c r="R72" i="3"/>
  <c r="R71" i="3"/>
  <c r="R70" i="3"/>
  <c r="O73" i="3"/>
  <c r="O72" i="3"/>
  <c r="O71" i="3"/>
  <c r="O70" i="3"/>
  <c r="O74" i="3" s="1"/>
  <c r="L73" i="3"/>
  <c r="L72" i="3"/>
  <c r="L71" i="3"/>
  <c r="L70" i="3"/>
  <c r="L74" i="3" s="1"/>
  <c r="I73" i="3"/>
  <c r="I72" i="3"/>
  <c r="I71" i="3"/>
  <c r="I70" i="3"/>
  <c r="I74" i="3" s="1"/>
  <c r="F73" i="3"/>
  <c r="F72" i="3"/>
  <c r="F71" i="3"/>
  <c r="F74" i="3" s="1"/>
  <c r="F70" i="3"/>
  <c r="C74" i="3"/>
  <c r="C73" i="3"/>
  <c r="C72" i="3"/>
  <c r="C71" i="3"/>
  <c r="C70" i="3"/>
  <c r="AE61" i="3"/>
  <c r="AE63" i="3"/>
  <c r="AE62" i="3"/>
  <c r="AE60" i="3"/>
  <c r="AB63" i="3"/>
  <c r="AB62" i="3"/>
  <c r="AB61" i="3"/>
  <c r="AB60" i="3"/>
  <c r="Y63" i="3"/>
  <c r="Y62" i="3"/>
  <c r="Y61" i="3"/>
  <c r="Y60" i="3"/>
  <c r="V63" i="3"/>
  <c r="V62" i="3"/>
  <c r="V61" i="3"/>
  <c r="V60" i="3"/>
  <c r="S63" i="3"/>
  <c r="S62" i="3"/>
  <c r="S61" i="3"/>
  <c r="S60" i="3"/>
  <c r="P63" i="3"/>
  <c r="P62" i="3"/>
  <c r="P61" i="3"/>
  <c r="P60" i="3"/>
  <c r="M63" i="3"/>
  <c r="M62" i="3"/>
  <c r="M61" i="3"/>
  <c r="M60" i="3"/>
  <c r="J63" i="3"/>
  <c r="J62" i="3"/>
  <c r="J61" i="3"/>
  <c r="J60" i="3"/>
  <c r="G63" i="3"/>
  <c r="G62" i="3"/>
  <c r="G61" i="3"/>
  <c r="G60" i="3"/>
  <c r="D63" i="3"/>
  <c r="D62" i="3"/>
  <c r="D61" i="3"/>
  <c r="D60" i="3"/>
  <c r="A63" i="3"/>
  <c r="AG58" i="3"/>
  <c r="AG57" i="3"/>
  <c r="AG56" i="3"/>
  <c r="AG55" i="3"/>
  <c r="AD58" i="3"/>
  <c r="AD57" i="3"/>
  <c r="AD56" i="3"/>
  <c r="AD55" i="3"/>
  <c r="AA58" i="3"/>
  <c r="AA57" i="3"/>
  <c r="AA56" i="3"/>
  <c r="AA55" i="3"/>
  <c r="X58" i="3"/>
  <c r="X57" i="3"/>
  <c r="X56" i="3"/>
  <c r="X55" i="3"/>
  <c r="U58" i="3"/>
  <c r="U57" i="3"/>
  <c r="U56" i="3"/>
  <c r="U55" i="3"/>
  <c r="R58" i="3"/>
  <c r="R57" i="3"/>
  <c r="R56" i="3"/>
  <c r="R55" i="3"/>
  <c r="O58" i="3"/>
  <c r="O57" i="3"/>
  <c r="O56" i="3"/>
  <c r="O55" i="3"/>
  <c r="L58" i="3"/>
  <c r="L57" i="3"/>
  <c r="L56" i="3"/>
  <c r="L55" i="3"/>
  <c r="I58" i="3"/>
  <c r="I57" i="3"/>
  <c r="I56" i="3"/>
  <c r="I55" i="3"/>
  <c r="F58" i="3"/>
  <c r="F57" i="3"/>
  <c r="F56" i="3"/>
  <c r="F55" i="3"/>
  <c r="C58" i="3"/>
  <c r="C57" i="3"/>
  <c r="C56" i="3"/>
  <c r="C59" i="3" s="1"/>
  <c r="C55" i="3"/>
  <c r="AG48" i="3"/>
  <c r="AG47" i="3"/>
  <c r="AG46" i="3"/>
  <c r="AG45" i="3"/>
  <c r="AD48" i="3"/>
  <c r="AD47" i="3"/>
  <c r="AD46" i="3"/>
  <c r="AD45" i="3"/>
  <c r="AA48" i="3"/>
  <c r="AA47" i="3"/>
  <c r="AA46" i="3"/>
  <c r="AA45" i="3"/>
  <c r="X48" i="3"/>
  <c r="X47" i="3"/>
  <c r="X46" i="3"/>
  <c r="X45" i="3"/>
  <c r="U48" i="3"/>
  <c r="U47" i="3"/>
  <c r="U46" i="3"/>
  <c r="U45" i="3"/>
  <c r="R48" i="3"/>
  <c r="R47" i="3"/>
  <c r="R46" i="3"/>
  <c r="R45" i="3"/>
  <c r="O48" i="3"/>
  <c r="O47" i="3"/>
  <c r="O46" i="3"/>
  <c r="O45" i="3"/>
  <c r="L48" i="3"/>
  <c r="L47" i="3"/>
  <c r="L46" i="3"/>
  <c r="L45" i="3"/>
  <c r="I48" i="3"/>
  <c r="I47" i="3"/>
  <c r="I46" i="3"/>
  <c r="I45" i="3"/>
  <c r="F48" i="3"/>
  <c r="F47" i="3"/>
  <c r="F46" i="3"/>
  <c r="F45" i="3"/>
  <c r="C48" i="3"/>
  <c r="C47" i="3"/>
  <c r="C46" i="3"/>
  <c r="C45" i="3"/>
  <c r="AG38" i="3"/>
  <c r="AG37" i="3"/>
  <c r="AG36" i="3"/>
  <c r="AG35" i="3"/>
  <c r="AD38" i="3"/>
  <c r="AD37" i="3"/>
  <c r="AD36" i="3"/>
  <c r="AD35" i="3"/>
  <c r="AA38" i="3"/>
  <c r="AA37" i="3"/>
  <c r="AA36" i="3"/>
  <c r="AA35" i="3"/>
  <c r="X38" i="3"/>
  <c r="X37" i="3"/>
  <c r="X36" i="3"/>
  <c r="X35" i="3"/>
  <c r="U38" i="3"/>
  <c r="U37" i="3"/>
  <c r="U36" i="3"/>
  <c r="U35" i="3"/>
  <c r="R38" i="3"/>
  <c r="R37" i="3"/>
  <c r="R36" i="3"/>
  <c r="R35" i="3"/>
  <c r="O38" i="3"/>
  <c r="O37" i="3"/>
  <c r="O36" i="3"/>
  <c r="O35" i="3"/>
  <c r="L38" i="3"/>
  <c r="L37" i="3"/>
  <c r="L36" i="3"/>
  <c r="L35" i="3"/>
  <c r="I38" i="3"/>
  <c r="I37" i="3"/>
  <c r="I36" i="3"/>
  <c r="I35" i="3"/>
  <c r="F38" i="3"/>
  <c r="F37" i="3"/>
  <c r="F36" i="3"/>
  <c r="F35" i="3"/>
  <c r="C38" i="3"/>
  <c r="C37" i="3"/>
  <c r="C36" i="3"/>
  <c r="C35" i="3"/>
  <c r="AG29" i="3"/>
  <c r="AG28" i="3"/>
  <c r="AG27" i="3"/>
  <c r="AG26" i="3"/>
  <c r="AD29" i="3"/>
  <c r="AD28" i="3"/>
  <c r="AD27" i="3"/>
  <c r="AD26" i="3"/>
  <c r="AA29" i="3"/>
  <c r="AA28" i="3"/>
  <c r="AA27" i="3"/>
  <c r="AA26" i="3"/>
  <c r="X29" i="3"/>
  <c r="X28" i="3"/>
  <c r="X27" i="3"/>
  <c r="X26" i="3"/>
  <c r="U29" i="3"/>
  <c r="U28" i="3"/>
  <c r="U27" i="3"/>
  <c r="U26" i="3"/>
  <c r="R29" i="3"/>
  <c r="R28" i="3"/>
  <c r="R27" i="3"/>
  <c r="R26" i="3"/>
  <c r="O29" i="3"/>
  <c r="O28" i="3"/>
  <c r="O27" i="3"/>
  <c r="O26" i="3"/>
  <c r="L29" i="3"/>
  <c r="L28" i="3"/>
  <c r="L27" i="3"/>
  <c r="L26" i="3"/>
  <c r="I29" i="3"/>
  <c r="I28" i="3"/>
  <c r="I27" i="3"/>
  <c r="I26" i="3"/>
  <c r="F29" i="3"/>
  <c r="F28" i="3"/>
  <c r="F27" i="3"/>
  <c r="F26" i="3"/>
  <c r="C29" i="3"/>
  <c r="C28" i="3"/>
  <c r="C27" i="3"/>
  <c r="C26" i="3"/>
  <c r="AG19" i="3"/>
  <c r="AG18" i="3"/>
  <c r="AG17" i="3"/>
  <c r="AG16" i="3"/>
  <c r="AD19" i="3"/>
  <c r="AD18" i="3"/>
  <c r="AD17" i="3"/>
  <c r="AD16" i="3"/>
  <c r="AA19" i="3"/>
  <c r="AA18" i="3"/>
  <c r="AA17" i="3"/>
  <c r="AA16" i="3"/>
  <c r="X19" i="3"/>
  <c r="X18" i="3"/>
  <c r="X17" i="3"/>
  <c r="X16" i="3"/>
  <c r="U19" i="3"/>
  <c r="U18" i="3"/>
  <c r="U17" i="3"/>
  <c r="U16" i="3"/>
  <c r="R19" i="3"/>
  <c r="R18" i="3"/>
  <c r="R17" i="3"/>
  <c r="R16" i="3"/>
  <c r="O19" i="3"/>
  <c r="O18" i="3"/>
  <c r="O17" i="3"/>
  <c r="O16" i="3"/>
  <c r="L19" i="3"/>
  <c r="L18" i="3"/>
  <c r="L17" i="3"/>
  <c r="L16" i="3"/>
  <c r="I19" i="3"/>
  <c r="I18" i="3"/>
  <c r="I17" i="3"/>
  <c r="I16" i="3"/>
  <c r="F19" i="3"/>
  <c r="F18" i="3"/>
  <c r="F17" i="3"/>
  <c r="F16" i="3"/>
  <c r="AH20" i="3" s="1"/>
  <c r="C19" i="3"/>
  <c r="C18" i="3"/>
  <c r="C17" i="3"/>
  <c r="C16" i="3"/>
  <c r="K9" i="4"/>
  <c r="T8" i="4"/>
  <c r="AC7" i="4"/>
  <c r="E7" i="4"/>
  <c r="AG5" i="4"/>
  <c r="AF5" i="4"/>
  <c r="AF9" i="4" s="1"/>
  <c r="AD5" i="4"/>
  <c r="AC5" i="4"/>
  <c r="AC9" i="4" s="1"/>
  <c r="AA5" i="4"/>
  <c r="Z5" i="4"/>
  <c r="Z9" i="4" s="1"/>
  <c r="X5" i="4"/>
  <c r="W5" i="4"/>
  <c r="W9" i="4" s="1"/>
  <c r="U5" i="4"/>
  <c r="T5" i="4"/>
  <c r="T9" i="4" s="1"/>
  <c r="R5" i="4"/>
  <c r="Q5" i="4"/>
  <c r="Q9" i="4" s="1"/>
  <c r="O5" i="4"/>
  <c r="N5" i="4"/>
  <c r="N9" i="4" s="1"/>
  <c r="L5" i="4"/>
  <c r="K5" i="4"/>
  <c r="I5" i="4"/>
  <c r="H5" i="4"/>
  <c r="H9" i="4" s="1"/>
  <c r="F5" i="4"/>
  <c r="E5" i="4"/>
  <c r="E9" i="4" s="1"/>
  <c r="C5" i="4"/>
  <c r="B5" i="4"/>
  <c r="B9" i="4" s="1"/>
  <c r="AG4" i="4"/>
  <c r="AF4" i="4"/>
  <c r="AF8" i="4" s="1"/>
  <c r="AD4" i="4"/>
  <c r="AC4" i="4"/>
  <c r="AC8" i="4" s="1"/>
  <c r="AA4" i="4"/>
  <c r="Z4" i="4"/>
  <c r="Z8" i="4" s="1"/>
  <c r="X4" i="4"/>
  <c r="W4" i="4"/>
  <c r="W8" i="4" s="1"/>
  <c r="U4" i="4"/>
  <c r="T4" i="4"/>
  <c r="R4" i="4"/>
  <c r="Q4" i="4"/>
  <c r="Q8" i="4" s="1"/>
  <c r="O4" i="4"/>
  <c r="N4" i="4"/>
  <c r="N8" i="4" s="1"/>
  <c r="L4" i="4"/>
  <c r="K4" i="4"/>
  <c r="K8" i="4" s="1"/>
  <c r="I4" i="4"/>
  <c r="H4" i="4"/>
  <c r="H8" i="4" s="1"/>
  <c r="F4" i="4"/>
  <c r="E4" i="4"/>
  <c r="E8" i="4" s="1"/>
  <c r="C4" i="4"/>
  <c r="B4" i="4"/>
  <c r="B8" i="4" s="1"/>
  <c r="AG3" i="4"/>
  <c r="AF3" i="4"/>
  <c r="AF7" i="4" s="1"/>
  <c r="AD3" i="4"/>
  <c r="AC3" i="4"/>
  <c r="AA3" i="4"/>
  <c r="Z3" i="4"/>
  <c r="Z7" i="4" s="1"/>
  <c r="X3" i="4"/>
  <c r="W3" i="4"/>
  <c r="W7" i="4" s="1"/>
  <c r="U3" i="4"/>
  <c r="T3" i="4"/>
  <c r="T7" i="4" s="1"/>
  <c r="R3" i="4"/>
  <c r="Q3" i="4"/>
  <c r="Q7" i="4" s="1"/>
  <c r="O3" i="4"/>
  <c r="N3" i="4"/>
  <c r="N7" i="4" s="1"/>
  <c r="L3" i="4"/>
  <c r="K3" i="4"/>
  <c r="K7" i="4" s="1"/>
  <c r="I3" i="4"/>
  <c r="H3" i="4"/>
  <c r="H7" i="4" s="1"/>
  <c r="F3" i="4"/>
  <c r="E3" i="4"/>
  <c r="C3" i="4"/>
  <c r="B3" i="4"/>
  <c r="B7" i="4" s="1"/>
  <c r="AG2" i="4"/>
  <c r="AF2" i="4"/>
  <c r="AF6" i="4" s="1"/>
  <c r="AD2" i="4"/>
  <c r="AC2" i="4"/>
  <c r="AC6" i="4" s="1"/>
  <c r="AA2" i="4"/>
  <c r="Z2" i="4"/>
  <c r="Z6" i="4" s="1"/>
  <c r="X2" i="4"/>
  <c r="W2" i="4"/>
  <c r="W6" i="4" s="1"/>
  <c r="U2" i="4"/>
  <c r="T2" i="4"/>
  <c r="T6" i="4" s="1"/>
  <c r="R2" i="4"/>
  <c r="Q2" i="4"/>
  <c r="Q6" i="4" s="1"/>
  <c r="O2" i="4"/>
  <c r="N2" i="4"/>
  <c r="L2" i="4"/>
  <c r="K2" i="4"/>
  <c r="K6" i="4" s="1"/>
  <c r="I2" i="4"/>
  <c r="H2" i="4"/>
  <c r="H6" i="4" s="1"/>
  <c r="F2" i="4"/>
  <c r="E2" i="4"/>
  <c r="E6" i="4" s="1"/>
  <c r="C2" i="4"/>
  <c r="B2" i="4"/>
  <c r="B6" i="4" s="1"/>
  <c r="AG55" i="4"/>
  <c r="AF55" i="4"/>
  <c r="AD55" i="4"/>
  <c r="AC55" i="4"/>
  <c r="AA55" i="4"/>
  <c r="Z55" i="4"/>
  <c r="X55" i="4"/>
  <c r="W55" i="4"/>
  <c r="U55" i="4"/>
  <c r="T55" i="4"/>
  <c r="R55" i="4"/>
  <c r="Q55" i="4"/>
  <c r="O55" i="4"/>
  <c r="N55" i="4"/>
  <c r="L55" i="4"/>
  <c r="K55" i="4"/>
  <c r="I55" i="4"/>
  <c r="H55" i="4"/>
  <c r="F55" i="4"/>
  <c r="E55" i="4"/>
  <c r="C55" i="4"/>
  <c r="B55" i="4"/>
  <c r="AG54" i="4"/>
  <c r="AF54" i="4"/>
  <c r="AD54" i="4"/>
  <c r="AC54" i="4"/>
  <c r="AA54" i="4"/>
  <c r="Z54" i="4"/>
  <c r="X54" i="4"/>
  <c r="W54" i="4"/>
  <c r="U54" i="4"/>
  <c r="T54" i="4"/>
  <c r="T58" i="4" s="1"/>
  <c r="R54" i="4"/>
  <c r="Q54" i="4"/>
  <c r="O54" i="4"/>
  <c r="N54" i="4"/>
  <c r="L54" i="4"/>
  <c r="K54" i="4"/>
  <c r="I54" i="4"/>
  <c r="H54" i="4"/>
  <c r="F54" i="4"/>
  <c r="E54" i="4"/>
  <c r="C54" i="4"/>
  <c r="B54" i="4"/>
  <c r="AG53" i="4"/>
  <c r="AF53" i="4"/>
  <c r="AD53" i="4"/>
  <c r="AC53" i="4"/>
  <c r="AA53" i="4"/>
  <c r="Z53" i="4"/>
  <c r="X53" i="4"/>
  <c r="W53" i="4"/>
  <c r="U53" i="4"/>
  <c r="T53" i="4"/>
  <c r="R53" i="4"/>
  <c r="Q53" i="4"/>
  <c r="O53" i="4"/>
  <c r="N53" i="4"/>
  <c r="L53" i="4"/>
  <c r="K53" i="4"/>
  <c r="I53" i="4"/>
  <c r="H53" i="4"/>
  <c r="F53" i="4"/>
  <c r="E53" i="4"/>
  <c r="E57" i="4" s="1"/>
  <c r="C53" i="4"/>
  <c r="B53" i="4"/>
  <c r="AG52" i="4"/>
  <c r="AF52" i="4"/>
  <c r="AD52" i="4"/>
  <c r="AC52" i="4"/>
  <c r="AA52" i="4"/>
  <c r="Z52" i="4"/>
  <c r="X52" i="4"/>
  <c r="W52" i="4"/>
  <c r="U52" i="4"/>
  <c r="T52" i="4"/>
  <c r="R52" i="4"/>
  <c r="Q52" i="4"/>
  <c r="O52" i="4"/>
  <c r="N52" i="4"/>
  <c r="L52" i="4"/>
  <c r="K52" i="4"/>
  <c r="I52" i="4"/>
  <c r="H52" i="4"/>
  <c r="F52" i="4"/>
  <c r="E52" i="4"/>
  <c r="C52" i="4"/>
  <c r="B52" i="4"/>
  <c r="AG45" i="4"/>
  <c r="AF45" i="4"/>
  <c r="AD45" i="4"/>
  <c r="AC45" i="4"/>
  <c r="AA45" i="4"/>
  <c r="Z45" i="4"/>
  <c r="X45" i="4"/>
  <c r="W45" i="4"/>
  <c r="U45" i="4"/>
  <c r="T45" i="4"/>
  <c r="R45" i="4"/>
  <c r="Q45" i="4"/>
  <c r="O45" i="4"/>
  <c r="N45" i="4"/>
  <c r="L45" i="4"/>
  <c r="K45" i="4"/>
  <c r="I45" i="4"/>
  <c r="H45" i="4"/>
  <c r="F45" i="4"/>
  <c r="E45" i="4"/>
  <c r="C45" i="4"/>
  <c r="B45" i="4"/>
  <c r="AG44" i="4"/>
  <c r="AF44" i="4"/>
  <c r="AD44" i="4"/>
  <c r="AC44" i="4"/>
  <c r="AA44" i="4"/>
  <c r="Z44" i="4"/>
  <c r="X44" i="4"/>
  <c r="W44" i="4"/>
  <c r="U44" i="4"/>
  <c r="T44" i="4"/>
  <c r="R44" i="4"/>
  <c r="Q44" i="4"/>
  <c r="O44" i="4"/>
  <c r="N44" i="4"/>
  <c r="L44" i="4"/>
  <c r="K44" i="4"/>
  <c r="I44" i="4"/>
  <c r="H44" i="4"/>
  <c r="F44" i="4"/>
  <c r="E44" i="4"/>
  <c r="C44" i="4"/>
  <c r="B44" i="4"/>
  <c r="AG43" i="4"/>
  <c r="AF43" i="4"/>
  <c r="AD43" i="4"/>
  <c r="AC43" i="4"/>
  <c r="AA43" i="4"/>
  <c r="Z43" i="4"/>
  <c r="X43" i="4"/>
  <c r="W43" i="4"/>
  <c r="U43" i="4"/>
  <c r="T43" i="4"/>
  <c r="R43" i="4"/>
  <c r="Q43" i="4"/>
  <c r="O43" i="4"/>
  <c r="N43" i="4"/>
  <c r="L43" i="4"/>
  <c r="K43" i="4"/>
  <c r="I43" i="4"/>
  <c r="H43" i="4"/>
  <c r="F43" i="4"/>
  <c r="E43" i="4"/>
  <c r="C43" i="4"/>
  <c r="B43" i="4"/>
  <c r="AG42" i="4"/>
  <c r="AF42" i="4"/>
  <c r="AD42" i="4"/>
  <c r="AC42" i="4"/>
  <c r="AA42" i="4"/>
  <c r="Z42" i="4"/>
  <c r="X42" i="4"/>
  <c r="W42" i="4"/>
  <c r="U42" i="4"/>
  <c r="T42" i="4"/>
  <c r="R42" i="4"/>
  <c r="Q42" i="4"/>
  <c r="O42" i="4"/>
  <c r="N42" i="4"/>
  <c r="L42" i="4"/>
  <c r="K42" i="4"/>
  <c r="I42" i="4"/>
  <c r="H42" i="4"/>
  <c r="F42" i="4"/>
  <c r="E42" i="4"/>
  <c r="C42" i="4"/>
  <c r="B42" i="4"/>
  <c r="AG35" i="4"/>
  <c r="AF35" i="4"/>
  <c r="AF39" i="4" s="1"/>
  <c r="AD35" i="4"/>
  <c r="AC35" i="4"/>
  <c r="AA35" i="4"/>
  <c r="Z35" i="4"/>
  <c r="X35" i="4"/>
  <c r="W35" i="4"/>
  <c r="W39" i="4" s="1"/>
  <c r="U35" i="4"/>
  <c r="T35" i="4"/>
  <c r="T39" i="4" s="1"/>
  <c r="R35" i="4"/>
  <c r="Q35" i="4"/>
  <c r="O35" i="4"/>
  <c r="N35" i="4"/>
  <c r="L35" i="4"/>
  <c r="K35" i="4"/>
  <c r="I35" i="4"/>
  <c r="H35" i="4"/>
  <c r="H39" i="4" s="1"/>
  <c r="F35" i="4"/>
  <c r="E35" i="4"/>
  <c r="C35" i="4"/>
  <c r="B35" i="4"/>
  <c r="AG34" i="4"/>
  <c r="AF34" i="4"/>
  <c r="AF38" i="4" s="1"/>
  <c r="AD34" i="4"/>
  <c r="AC34" i="4"/>
  <c r="AC38" i="4" s="1"/>
  <c r="AA34" i="4"/>
  <c r="Z34" i="4"/>
  <c r="X34" i="4"/>
  <c r="W34" i="4"/>
  <c r="U34" i="4"/>
  <c r="T34" i="4"/>
  <c r="R34" i="4"/>
  <c r="Q34" i="4"/>
  <c r="Q38" i="4" s="1"/>
  <c r="O34" i="4"/>
  <c r="N34" i="4"/>
  <c r="L34" i="4"/>
  <c r="K34" i="4"/>
  <c r="I34" i="4"/>
  <c r="H34" i="4"/>
  <c r="H38" i="4" s="1"/>
  <c r="F34" i="4"/>
  <c r="E34" i="4"/>
  <c r="E38" i="4" s="1"/>
  <c r="C34" i="4"/>
  <c r="B34" i="4"/>
  <c r="AG33" i="4"/>
  <c r="AF33" i="4"/>
  <c r="AD33" i="4"/>
  <c r="AC33" i="4"/>
  <c r="AC37" i="4" s="1"/>
  <c r="AA33" i="4"/>
  <c r="Z33" i="4"/>
  <c r="Z37" i="4" s="1"/>
  <c r="X33" i="4"/>
  <c r="W33" i="4"/>
  <c r="U33" i="4"/>
  <c r="T33" i="4"/>
  <c r="R33" i="4"/>
  <c r="Q33" i="4"/>
  <c r="Q37" i="4" s="1"/>
  <c r="O33" i="4"/>
  <c r="N33" i="4"/>
  <c r="N37" i="4" s="1"/>
  <c r="L33" i="4"/>
  <c r="K33" i="4"/>
  <c r="I33" i="4"/>
  <c r="H33" i="4"/>
  <c r="F33" i="4"/>
  <c r="E33" i="4"/>
  <c r="C33" i="4"/>
  <c r="B33" i="4"/>
  <c r="B37" i="4" s="1"/>
  <c r="AG32" i="4"/>
  <c r="AF32" i="4"/>
  <c r="AD32" i="4"/>
  <c r="AC32" i="4"/>
  <c r="AA32" i="4"/>
  <c r="Z32" i="4"/>
  <c r="Z36" i="4" s="1"/>
  <c r="X32" i="4"/>
  <c r="W32" i="4"/>
  <c r="W36" i="4" s="1"/>
  <c r="U32" i="4"/>
  <c r="T32" i="4"/>
  <c r="R32" i="4"/>
  <c r="Q32" i="4"/>
  <c r="O32" i="4"/>
  <c r="N32" i="4"/>
  <c r="N36" i="4" s="1"/>
  <c r="L32" i="4"/>
  <c r="K32" i="4"/>
  <c r="K36" i="4" s="1"/>
  <c r="I32" i="4"/>
  <c r="H32" i="4"/>
  <c r="F32" i="4"/>
  <c r="E32" i="4"/>
  <c r="C32" i="4"/>
  <c r="B32" i="4"/>
  <c r="B36" i="4" s="1"/>
  <c r="AG25" i="4"/>
  <c r="AF25" i="4"/>
  <c r="AF29" i="4" s="1"/>
  <c r="AD25" i="4"/>
  <c r="AC25" i="4"/>
  <c r="AA25" i="4"/>
  <c r="Z25" i="4"/>
  <c r="X25" i="4"/>
  <c r="W25" i="4"/>
  <c r="W29" i="4" s="1"/>
  <c r="U25" i="4"/>
  <c r="T25" i="4"/>
  <c r="T29" i="4" s="1"/>
  <c r="R25" i="4"/>
  <c r="Q25" i="4"/>
  <c r="O25" i="4"/>
  <c r="N25" i="4"/>
  <c r="L25" i="4"/>
  <c r="K25" i="4"/>
  <c r="K29" i="4" s="1"/>
  <c r="I25" i="4"/>
  <c r="H25" i="4"/>
  <c r="H29" i="4" s="1"/>
  <c r="F25" i="4"/>
  <c r="E25" i="4"/>
  <c r="C25" i="4"/>
  <c r="B25" i="4"/>
  <c r="AG24" i="4"/>
  <c r="AF24" i="4"/>
  <c r="AF28" i="4" s="1"/>
  <c r="AD24" i="4"/>
  <c r="AC24" i="4"/>
  <c r="AC28" i="4" s="1"/>
  <c r="AA24" i="4"/>
  <c r="Z24" i="4"/>
  <c r="X24" i="4"/>
  <c r="W24" i="4"/>
  <c r="U24" i="4"/>
  <c r="T24" i="4"/>
  <c r="T28" i="4" s="1"/>
  <c r="R24" i="4"/>
  <c r="Q24" i="4"/>
  <c r="Q28" i="4" s="1"/>
  <c r="O24" i="4"/>
  <c r="N24" i="4"/>
  <c r="L24" i="4"/>
  <c r="K24" i="4"/>
  <c r="I24" i="4"/>
  <c r="H24" i="4"/>
  <c r="H28" i="4" s="1"/>
  <c r="F24" i="4"/>
  <c r="E24" i="4"/>
  <c r="E28" i="4" s="1"/>
  <c r="C24" i="4"/>
  <c r="B24" i="4"/>
  <c r="AG23" i="4"/>
  <c r="AF23" i="4"/>
  <c r="AD23" i="4"/>
  <c r="AC23" i="4"/>
  <c r="AC27" i="4" s="1"/>
  <c r="AA23" i="4"/>
  <c r="Z23" i="4"/>
  <c r="Z27" i="4" s="1"/>
  <c r="X23" i="4"/>
  <c r="W23" i="4"/>
  <c r="U23" i="4"/>
  <c r="T23" i="4"/>
  <c r="R23" i="4"/>
  <c r="Q23" i="4"/>
  <c r="Q27" i="4" s="1"/>
  <c r="O23" i="4"/>
  <c r="N23" i="4"/>
  <c r="N27" i="4" s="1"/>
  <c r="L23" i="4"/>
  <c r="K23" i="4"/>
  <c r="I23" i="4"/>
  <c r="H23" i="4"/>
  <c r="F23" i="4"/>
  <c r="E23" i="4"/>
  <c r="E27" i="4" s="1"/>
  <c r="C23" i="4"/>
  <c r="B23" i="4"/>
  <c r="B27" i="4" s="1"/>
  <c r="AG22" i="4"/>
  <c r="AF22" i="4"/>
  <c r="AD22" i="4"/>
  <c r="AC22" i="4"/>
  <c r="AA22" i="4"/>
  <c r="Z22" i="4"/>
  <c r="Z26" i="4" s="1"/>
  <c r="X22" i="4"/>
  <c r="W22" i="4"/>
  <c r="W26" i="4" s="1"/>
  <c r="U22" i="4"/>
  <c r="T22" i="4"/>
  <c r="R22" i="4"/>
  <c r="Q22" i="4"/>
  <c r="O22" i="4"/>
  <c r="N22" i="4"/>
  <c r="N26" i="4" s="1"/>
  <c r="L22" i="4"/>
  <c r="K22" i="4"/>
  <c r="K26" i="4" s="1"/>
  <c r="I22" i="4"/>
  <c r="H22" i="4"/>
  <c r="F22" i="4"/>
  <c r="E22" i="4"/>
  <c r="C22" i="4"/>
  <c r="B22" i="4"/>
  <c r="B26" i="4" s="1"/>
  <c r="AG15" i="4"/>
  <c r="AF15" i="4"/>
  <c r="AD15" i="4"/>
  <c r="AC15" i="4"/>
  <c r="AA15" i="4"/>
  <c r="Z15" i="4"/>
  <c r="X15" i="4"/>
  <c r="W15" i="4"/>
  <c r="U15" i="4"/>
  <c r="T15" i="4"/>
  <c r="R15" i="4"/>
  <c r="Q15" i="4"/>
  <c r="O15" i="4"/>
  <c r="N15" i="4"/>
  <c r="L15" i="4"/>
  <c r="K15" i="4"/>
  <c r="K19" i="4" s="1"/>
  <c r="I15" i="4"/>
  <c r="H15" i="4"/>
  <c r="F15" i="4"/>
  <c r="E15" i="4"/>
  <c r="C15" i="4"/>
  <c r="B15" i="4"/>
  <c r="AG14" i="4"/>
  <c r="AF14" i="4"/>
  <c r="AD14" i="4"/>
  <c r="AC14" i="4"/>
  <c r="AA14" i="4"/>
  <c r="Z14" i="4"/>
  <c r="X14" i="4"/>
  <c r="W14" i="4"/>
  <c r="U14" i="4"/>
  <c r="T14" i="4"/>
  <c r="T18" i="4" s="1"/>
  <c r="R14" i="4"/>
  <c r="Q14" i="4"/>
  <c r="O14" i="4"/>
  <c r="N14" i="4"/>
  <c r="L14" i="4"/>
  <c r="K14" i="4"/>
  <c r="I14" i="4"/>
  <c r="H14" i="4"/>
  <c r="F14" i="4"/>
  <c r="E14" i="4"/>
  <c r="C14" i="4"/>
  <c r="B14" i="4"/>
  <c r="AG13" i="4"/>
  <c r="AF13" i="4"/>
  <c r="AD13" i="4"/>
  <c r="AC13" i="4"/>
  <c r="AA13" i="4"/>
  <c r="Z13" i="4"/>
  <c r="X13" i="4"/>
  <c r="W13" i="4"/>
  <c r="U13" i="4"/>
  <c r="T13" i="4"/>
  <c r="R13" i="4"/>
  <c r="Q13" i="4"/>
  <c r="O13" i="4"/>
  <c r="N13" i="4"/>
  <c r="L13" i="4"/>
  <c r="K13" i="4"/>
  <c r="I13" i="4"/>
  <c r="H13" i="4"/>
  <c r="F13" i="4"/>
  <c r="E13" i="4"/>
  <c r="C13" i="4"/>
  <c r="B13" i="4"/>
  <c r="AG12" i="4"/>
  <c r="AF12" i="4"/>
  <c r="AD12" i="4"/>
  <c r="AC12" i="4"/>
  <c r="AA12" i="4"/>
  <c r="Z12" i="4"/>
  <c r="X12" i="4"/>
  <c r="W12" i="4"/>
  <c r="U12" i="4"/>
  <c r="T12" i="4"/>
  <c r="R12" i="4"/>
  <c r="Q12" i="4"/>
  <c r="O12" i="4"/>
  <c r="N12" i="4"/>
  <c r="L12" i="4"/>
  <c r="K12" i="4"/>
  <c r="I12" i="4"/>
  <c r="H12" i="4"/>
  <c r="F12" i="4"/>
  <c r="E12" i="4"/>
  <c r="C12" i="4"/>
  <c r="B12" i="4"/>
  <c r="E22" i="3"/>
  <c r="E23" i="3"/>
  <c r="E47" i="3"/>
  <c r="AG25" i="3"/>
  <c r="AF25" i="3"/>
  <c r="AD25" i="3"/>
  <c r="AC25" i="3"/>
  <c r="AA25" i="3"/>
  <c r="Z25" i="3"/>
  <c r="X25" i="3"/>
  <c r="W25" i="3"/>
  <c r="U25" i="3"/>
  <c r="T25" i="3"/>
  <c r="R25" i="3"/>
  <c r="Q25" i="3"/>
  <c r="O25" i="3"/>
  <c r="N25" i="3"/>
  <c r="L25" i="3"/>
  <c r="K25" i="3"/>
  <c r="I25" i="3"/>
  <c r="H25" i="3"/>
  <c r="F25" i="3"/>
  <c r="E25" i="3"/>
  <c r="C25" i="3"/>
  <c r="B25" i="3"/>
  <c r="AG24" i="3"/>
  <c r="AF24" i="3"/>
  <c r="AD24" i="3"/>
  <c r="AC24" i="3"/>
  <c r="AA24" i="3"/>
  <c r="Z24" i="3"/>
  <c r="X24" i="3"/>
  <c r="W24" i="3"/>
  <c r="U24" i="3"/>
  <c r="T24" i="3"/>
  <c r="R24" i="3"/>
  <c r="Q24" i="3"/>
  <c r="O24" i="3"/>
  <c r="N24" i="3"/>
  <c r="L24" i="3"/>
  <c r="K24" i="3"/>
  <c r="I24" i="3"/>
  <c r="H24" i="3"/>
  <c r="F24" i="3"/>
  <c r="E24" i="3"/>
  <c r="C24" i="3"/>
  <c r="B24" i="3"/>
  <c r="AG23" i="3"/>
  <c r="AF23" i="3"/>
  <c r="AD23" i="3"/>
  <c r="AC23" i="3"/>
  <c r="AA23" i="3"/>
  <c r="Z23" i="3"/>
  <c r="X23" i="3"/>
  <c r="W23" i="3"/>
  <c r="U23" i="3"/>
  <c r="T23" i="3"/>
  <c r="R23" i="3"/>
  <c r="Q23" i="3"/>
  <c r="O23" i="3"/>
  <c r="N23" i="3"/>
  <c r="L23" i="3"/>
  <c r="K23" i="3"/>
  <c r="I23" i="3"/>
  <c r="H23" i="3"/>
  <c r="F23" i="3"/>
  <c r="C23" i="3"/>
  <c r="B23" i="3"/>
  <c r="AG22" i="3"/>
  <c r="AF22" i="3"/>
  <c r="AD22" i="3"/>
  <c r="AC22" i="3"/>
  <c r="AA22" i="3"/>
  <c r="Z22" i="3"/>
  <c r="X22" i="3"/>
  <c r="W22" i="3"/>
  <c r="U22" i="3"/>
  <c r="T22" i="3"/>
  <c r="R22" i="3"/>
  <c r="Q22" i="3"/>
  <c r="O22" i="3"/>
  <c r="N22" i="3"/>
  <c r="L22" i="3"/>
  <c r="K22" i="3"/>
  <c r="I22" i="3"/>
  <c r="H22" i="3"/>
  <c r="F22" i="3"/>
  <c r="C22" i="3"/>
  <c r="B22" i="3"/>
  <c r="AC17" i="3"/>
  <c r="W16" i="3"/>
  <c r="E16" i="3"/>
  <c r="C5" i="3"/>
  <c r="C3" i="3"/>
  <c r="C2" i="3"/>
  <c r="B70" i="3" s="1"/>
  <c r="AG55" i="1"/>
  <c r="AF55" i="1"/>
  <c r="AG54" i="1"/>
  <c r="AF54" i="1"/>
  <c r="AG53" i="1"/>
  <c r="AF53" i="1"/>
  <c r="AG52" i="1"/>
  <c r="AF52" i="1"/>
  <c r="AD55" i="1"/>
  <c r="AC55" i="1"/>
  <c r="AD54" i="1"/>
  <c r="AC54" i="1"/>
  <c r="AD53" i="1"/>
  <c r="AC53" i="1"/>
  <c r="AD52" i="1"/>
  <c r="AC52" i="1"/>
  <c r="AA55" i="1"/>
  <c r="Z55" i="1"/>
  <c r="AA54" i="1"/>
  <c r="Z54" i="1"/>
  <c r="AA53" i="1"/>
  <c r="Z53" i="1"/>
  <c r="AA52" i="1"/>
  <c r="Z52" i="1"/>
  <c r="X55" i="1"/>
  <c r="W55" i="1"/>
  <c r="X54" i="1"/>
  <c r="W54" i="1"/>
  <c r="X53" i="1"/>
  <c r="W53" i="1"/>
  <c r="X52" i="1"/>
  <c r="W52" i="1"/>
  <c r="U55" i="1"/>
  <c r="T55" i="1"/>
  <c r="U54" i="1"/>
  <c r="T54" i="1"/>
  <c r="U53" i="1"/>
  <c r="T53" i="1"/>
  <c r="U52" i="1"/>
  <c r="T52" i="1"/>
  <c r="R55" i="1"/>
  <c r="Q55" i="1"/>
  <c r="R54" i="1"/>
  <c r="Q54" i="1"/>
  <c r="R53" i="1"/>
  <c r="Q53" i="1"/>
  <c r="R52" i="1"/>
  <c r="Q52" i="1"/>
  <c r="O55" i="1"/>
  <c r="N55" i="1"/>
  <c r="O54" i="1"/>
  <c r="N54" i="1"/>
  <c r="O53" i="1"/>
  <c r="N53" i="1"/>
  <c r="O52" i="1"/>
  <c r="N52" i="1"/>
  <c r="L55" i="1"/>
  <c r="K55" i="1"/>
  <c r="L54" i="1"/>
  <c r="K54" i="1"/>
  <c r="L53" i="1"/>
  <c r="K53" i="1"/>
  <c r="L52" i="1"/>
  <c r="K52" i="1"/>
  <c r="I55" i="1"/>
  <c r="H55" i="1"/>
  <c r="I54" i="1"/>
  <c r="H54" i="1"/>
  <c r="I53" i="1"/>
  <c r="H53" i="1"/>
  <c r="I52" i="1"/>
  <c r="H52" i="1"/>
  <c r="F55" i="1"/>
  <c r="E55" i="1"/>
  <c r="F54" i="1"/>
  <c r="E54" i="1"/>
  <c r="F53" i="1"/>
  <c r="E53" i="1"/>
  <c r="F52" i="1"/>
  <c r="E52" i="1"/>
  <c r="C55" i="1"/>
  <c r="B55" i="1"/>
  <c r="C54" i="1"/>
  <c r="B54" i="1"/>
  <c r="C53" i="1"/>
  <c r="B53" i="1"/>
  <c r="C52" i="1"/>
  <c r="B52" i="1"/>
  <c r="AG45" i="1"/>
  <c r="AF45" i="1"/>
  <c r="AG44" i="1"/>
  <c r="AF44" i="1"/>
  <c r="AG43" i="1"/>
  <c r="AF43" i="1"/>
  <c r="AG42" i="1"/>
  <c r="AF42" i="1"/>
  <c r="AD45" i="1"/>
  <c r="AC45" i="1"/>
  <c r="AD44" i="1"/>
  <c r="AC44" i="1"/>
  <c r="AD43" i="1"/>
  <c r="AC43" i="1"/>
  <c r="AD42" i="1"/>
  <c r="AC42" i="1"/>
  <c r="AA45" i="1"/>
  <c r="Z45" i="1"/>
  <c r="AA44" i="1"/>
  <c r="Z44" i="1"/>
  <c r="AA43" i="1"/>
  <c r="Z43" i="1"/>
  <c r="AA42" i="1"/>
  <c r="Z42" i="1"/>
  <c r="X45" i="1"/>
  <c r="W45" i="1"/>
  <c r="X44" i="1"/>
  <c r="W44" i="1"/>
  <c r="X43" i="1"/>
  <c r="W43" i="1"/>
  <c r="X42" i="1"/>
  <c r="W42" i="1"/>
  <c r="U45" i="1"/>
  <c r="T45" i="1"/>
  <c r="U44" i="1"/>
  <c r="T44" i="1"/>
  <c r="U43" i="1"/>
  <c r="T43" i="1"/>
  <c r="U42" i="1"/>
  <c r="T42" i="1"/>
  <c r="R45" i="1"/>
  <c r="Q45" i="1"/>
  <c r="R44" i="1"/>
  <c r="Q44" i="1"/>
  <c r="R43" i="1"/>
  <c r="Q43" i="1"/>
  <c r="R42" i="1"/>
  <c r="Q42" i="1"/>
  <c r="O45" i="1"/>
  <c r="N45" i="1"/>
  <c r="O44" i="1"/>
  <c r="N44" i="1"/>
  <c r="O43" i="1"/>
  <c r="N43" i="1"/>
  <c r="O42" i="1"/>
  <c r="N42" i="1"/>
  <c r="L45" i="1"/>
  <c r="K45" i="1"/>
  <c r="L44" i="1"/>
  <c r="K44" i="1"/>
  <c r="L43" i="1"/>
  <c r="K43" i="1"/>
  <c r="L42" i="1"/>
  <c r="K42" i="1"/>
  <c r="I45" i="1"/>
  <c r="H45" i="1"/>
  <c r="I44" i="1"/>
  <c r="H44" i="1"/>
  <c r="I43" i="1"/>
  <c r="H43" i="1"/>
  <c r="I42" i="1"/>
  <c r="H42" i="1"/>
  <c r="F45" i="1"/>
  <c r="E45" i="1"/>
  <c r="F44" i="1"/>
  <c r="E44" i="1"/>
  <c r="F43" i="1"/>
  <c r="E43" i="1"/>
  <c r="F42" i="1"/>
  <c r="E42" i="1"/>
  <c r="C45" i="1"/>
  <c r="B45" i="1"/>
  <c r="C44" i="1"/>
  <c r="B44" i="1"/>
  <c r="C43" i="1"/>
  <c r="B43" i="1"/>
  <c r="C42" i="1"/>
  <c r="B42" i="1"/>
  <c r="C35" i="1"/>
  <c r="B35" i="1"/>
  <c r="C34" i="1"/>
  <c r="B34" i="1"/>
  <c r="C33" i="1"/>
  <c r="B33" i="1"/>
  <c r="C32" i="1"/>
  <c r="B32" i="1"/>
  <c r="F35" i="1"/>
  <c r="E35" i="1"/>
  <c r="F34" i="1"/>
  <c r="E34" i="1"/>
  <c r="F33" i="1"/>
  <c r="E33" i="1"/>
  <c r="F32" i="1"/>
  <c r="E32" i="1"/>
  <c r="I35" i="1"/>
  <c r="H35" i="1"/>
  <c r="I34" i="1"/>
  <c r="H34" i="1"/>
  <c r="I33" i="1"/>
  <c r="H33" i="1"/>
  <c r="I32" i="1"/>
  <c r="H32" i="1"/>
  <c r="L35" i="1"/>
  <c r="K35" i="1"/>
  <c r="L34" i="1"/>
  <c r="K34" i="1"/>
  <c r="L33" i="1"/>
  <c r="K33" i="1"/>
  <c r="L32" i="1"/>
  <c r="K32" i="1"/>
  <c r="O35" i="1"/>
  <c r="N35" i="1"/>
  <c r="O34" i="1"/>
  <c r="N34" i="1"/>
  <c r="O33" i="1"/>
  <c r="N33" i="1"/>
  <c r="O32" i="1"/>
  <c r="N32" i="1"/>
  <c r="R35" i="1"/>
  <c r="Q35" i="1"/>
  <c r="R34" i="1"/>
  <c r="Q34" i="1"/>
  <c r="R33" i="1"/>
  <c r="Q33" i="1"/>
  <c r="R32" i="1"/>
  <c r="Q32" i="1"/>
  <c r="U35" i="1"/>
  <c r="T35" i="1"/>
  <c r="U34" i="1"/>
  <c r="T34" i="1"/>
  <c r="U33" i="1"/>
  <c r="T33" i="1"/>
  <c r="U32" i="1"/>
  <c r="T32" i="1"/>
  <c r="X35" i="1"/>
  <c r="W35" i="1"/>
  <c r="X34" i="1"/>
  <c r="W34" i="1"/>
  <c r="X33" i="1"/>
  <c r="W33" i="1"/>
  <c r="X32" i="1"/>
  <c r="W32" i="1"/>
  <c r="AA35" i="1"/>
  <c r="Z35" i="1"/>
  <c r="AA34" i="1"/>
  <c r="Z34" i="1"/>
  <c r="AA33" i="1"/>
  <c r="Z33" i="1"/>
  <c r="AA32" i="1"/>
  <c r="Z32" i="1"/>
  <c r="AD35" i="1"/>
  <c r="AC35" i="1"/>
  <c r="AD34" i="1"/>
  <c r="AC34" i="1"/>
  <c r="AD33" i="1"/>
  <c r="AC33" i="1"/>
  <c r="AD32" i="1"/>
  <c r="AC32" i="1"/>
  <c r="AG35" i="1"/>
  <c r="AF35" i="1"/>
  <c r="AG34" i="1"/>
  <c r="AF34" i="1"/>
  <c r="AG33" i="1"/>
  <c r="AF33" i="1"/>
  <c r="AG32" i="1"/>
  <c r="AF32" i="1"/>
  <c r="AG25" i="1"/>
  <c r="AF25" i="1"/>
  <c r="AG24" i="1"/>
  <c r="AF24" i="1"/>
  <c r="AG23" i="1"/>
  <c r="AF23" i="1"/>
  <c r="AG22" i="1"/>
  <c r="AF22" i="1"/>
  <c r="X25" i="1"/>
  <c r="W25" i="1"/>
  <c r="X24" i="1"/>
  <c r="W24" i="1"/>
  <c r="X23" i="1"/>
  <c r="W23" i="1"/>
  <c r="X22" i="1"/>
  <c r="W22" i="1"/>
  <c r="U25" i="1"/>
  <c r="T25" i="1"/>
  <c r="U24" i="1"/>
  <c r="T24" i="1"/>
  <c r="U23" i="1"/>
  <c r="T23" i="1"/>
  <c r="U22" i="1"/>
  <c r="T22" i="1"/>
  <c r="Z24" i="1"/>
  <c r="AD25" i="1"/>
  <c r="AC25" i="1"/>
  <c r="AD24" i="1"/>
  <c r="AC24" i="1"/>
  <c r="AD23" i="1"/>
  <c r="AC23" i="1"/>
  <c r="AD22" i="1"/>
  <c r="AC22" i="1"/>
  <c r="AA25" i="1"/>
  <c r="Z25" i="1"/>
  <c r="AA24" i="1"/>
  <c r="AA23" i="1"/>
  <c r="Z23" i="1"/>
  <c r="AA22" i="1"/>
  <c r="Z22" i="1"/>
  <c r="R25" i="1"/>
  <c r="Q25" i="1"/>
  <c r="R24" i="1"/>
  <c r="Q24" i="1"/>
  <c r="R23" i="1"/>
  <c r="Q23" i="1"/>
  <c r="R22" i="1"/>
  <c r="Q22" i="1"/>
  <c r="O25" i="1"/>
  <c r="N25" i="1"/>
  <c r="O24" i="1"/>
  <c r="N24" i="1"/>
  <c r="O23" i="1"/>
  <c r="N23" i="1"/>
  <c r="O22" i="1"/>
  <c r="N22" i="1"/>
  <c r="L25" i="1"/>
  <c r="K25" i="1"/>
  <c r="L24" i="1"/>
  <c r="K24" i="1"/>
  <c r="L23" i="1"/>
  <c r="K23" i="1"/>
  <c r="L22" i="1"/>
  <c r="K22" i="1"/>
  <c r="I25" i="1"/>
  <c r="H25" i="1"/>
  <c r="I24" i="1"/>
  <c r="H24" i="1"/>
  <c r="I23" i="1"/>
  <c r="H23" i="1"/>
  <c r="I22" i="1"/>
  <c r="H22" i="1"/>
  <c r="F25" i="1"/>
  <c r="E25" i="1"/>
  <c r="F24" i="1"/>
  <c r="E24" i="1"/>
  <c r="F23" i="1"/>
  <c r="E23" i="1"/>
  <c r="F22" i="1"/>
  <c r="E22" i="1"/>
  <c r="C25" i="1"/>
  <c r="B25" i="1"/>
  <c r="C24" i="1"/>
  <c r="B24" i="1"/>
  <c r="C23" i="1"/>
  <c r="B23" i="1"/>
  <c r="C22" i="1"/>
  <c r="B22" i="1"/>
  <c r="AG15" i="1"/>
  <c r="AF15" i="1"/>
  <c r="AG14" i="1"/>
  <c r="AF14" i="1"/>
  <c r="AG13" i="1"/>
  <c r="AF13" i="1"/>
  <c r="AG12" i="1"/>
  <c r="AF12" i="1"/>
  <c r="AD15" i="1"/>
  <c r="AC15" i="1"/>
  <c r="AD14" i="1"/>
  <c r="AC14" i="1"/>
  <c r="AD13" i="1"/>
  <c r="AC13" i="1"/>
  <c r="AD12" i="1"/>
  <c r="AC12" i="1"/>
  <c r="AA15" i="1"/>
  <c r="Z15" i="1"/>
  <c r="AA14" i="1"/>
  <c r="Z14" i="1"/>
  <c r="AA13" i="1"/>
  <c r="Z13" i="1"/>
  <c r="AA12" i="1"/>
  <c r="Z12" i="1"/>
  <c r="X15" i="1"/>
  <c r="W15" i="1"/>
  <c r="X14" i="1"/>
  <c r="W14" i="1"/>
  <c r="X13" i="1"/>
  <c r="W13" i="1"/>
  <c r="X12" i="1"/>
  <c r="W12" i="1"/>
  <c r="U15" i="1"/>
  <c r="T15" i="1"/>
  <c r="U14" i="1"/>
  <c r="T14" i="1"/>
  <c r="U13" i="1"/>
  <c r="T13" i="1"/>
  <c r="U12" i="1"/>
  <c r="T12" i="1"/>
  <c r="R15" i="1"/>
  <c r="Q15" i="1"/>
  <c r="R14" i="1"/>
  <c r="Q14" i="1"/>
  <c r="R13" i="1"/>
  <c r="Q13" i="1"/>
  <c r="R12" i="1"/>
  <c r="Q12" i="1"/>
  <c r="O15" i="1"/>
  <c r="N15" i="1"/>
  <c r="O14" i="1"/>
  <c r="N14" i="1"/>
  <c r="O13" i="1"/>
  <c r="N13" i="1"/>
  <c r="O12" i="1"/>
  <c r="N12" i="1"/>
  <c r="L15" i="1"/>
  <c r="K15" i="1"/>
  <c r="L14" i="1"/>
  <c r="K14" i="1"/>
  <c r="L13" i="1"/>
  <c r="K13" i="1"/>
  <c r="L12" i="1"/>
  <c r="K12" i="1"/>
  <c r="I15" i="1"/>
  <c r="H15" i="1"/>
  <c r="I14" i="1"/>
  <c r="H14" i="1"/>
  <c r="I13" i="1"/>
  <c r="H13" i="1"/>
  <c r="I12" i="1"/>
  <c r="H12" i="1"/>
  <c r="F15" i="1"/>
  <c r="E15" i="1"/>
  <c r="F14" i="1"/>
  <c r="E14" i="1"/>
  <c r="F13" i="1"/>
  <c r="E13" i="1"/>
  <c r="F12" i="1"/>
  <c r="E12" i="1"/>
  <c r="B12" i="1"/>
  <c r="C15" i="1"/>
  <c r="B15" i="1"/>
  <c r="C14" i="1"/>
  <c r="B14" i="1"/>
  <c r="C13" i="1"/>
  <c r="B13" i="1"/>
  <c r="C12" i="1"/>
  <c r="AG5" i="1"/>
  <c r="AF5" i="1"/>
  <c r="AG4" i="1"/>
  <c r="AF4" i="1"/>
  <c r="AG3" i="1"/>
  <c r="AF3" i="1"/>
  <c r="AG2" i="1"/>
  <c r="AF2" i="1"/>
  <c r="AD5" i="1"/>
  <c r="AC5" i="1"/>
  <c r="AD4" i="1"/>
  <c r="AC4" i="1"/>
  <c r="AD3" i="1"/>
  <c r="AC3" i="1"/>
  <c r="AD2" i="1"/>
  <c r="AC2" i="1"/>
  <c r="AA5" i="1"/>
  <c r="Z5" i="1"/>
  <c r="AA4" i="1"/>
  <c r="Z4" i="1"/>
  <c r="AA3" i="1"/>
  <c r="Z3" i="1"/>
  <c r="AA2" i="1"/>
  <c r="Z2" i="1"/>
  <c r="X5" i="1"/>
  <c r="W5" i="1"/>
  <c r="X4" i="1"/>
  <c r="W4" i="1"/>
  <c r="X3" i="1"/>
  <c r="W3" i="1"/>
  <c r="X2" i="1"/>
  <c r="W2" i="1"/>
  <c r="U5" i="1"/>
  <c r="T5" i="1"/>
  <c r="U4" i="1"/>
  <c r="T4" i="1"/>
  <c r="U3" i="1"/>
  <c r="T3" i="1"/>
  <c r="U2" i="1"/>
  <c r="T2" i="1"/>
  <c r="R5" i="1"/>
  <c r="Q5" i="1"/>
  <c r="R4" i="1"/>
  <c r="Q4" i="1"/>
  <c r="R3" i="1"/>
  <c r="Q3" i="1"/>
  <c r="R2" i="1"/>
  <c r="Q2" i="1"/>
  <c r="O5" i="1"/>
  <c r="N5" i="1"/>
  <c r="O4" i="1"/>
  <c r="N4" i="1"/>
  <c r="O3" i="1"/>
  <c r="N3" i="1"/>
  <c r="O2" i="1"/>
  <c r="N2" i="1"/>
  <c r="L5" i="1"/>
  <c r="K5" i="1"/>
  <c r="L4" i="1"/>
  <c r="K4" i="1"/>
  <c r="L3" i="1"/>
  <c r="K3" i="1"/>
  <c r="L2" i="1"/>
  <c r="K2" i="1"/>
  <c r="I5" i="1"/>
  <c r="H5" i="1"/>
  <c r="I4" i="1"/>
  <c r="H4" i="1"/>
  <c r="I3" i="1"/>
  <c r="H3" i="1"/>
  <c r="I2" i="1"/>
  <c r="H2" i="1"/>
  <c r="F5" i="1"/>
  <c r="E5" i="1"/>
  <c r="F4" i="1"/>
  <c r="E4" i="1"/>
  <c r="F3" i="1"/>
  <c r="E3" i="1"/>
  <c r="F2" i="1"/>
  <c r="E2" i="1"/>
  <c r="C5" i="1"/>
  <c r="B5" i="1"/>
  <c r="C4" i="1"/>
  <c r="B4" i="1"/>
  <c r="C3" i="1"/>
  <c r="B3" i="1"/>
  <c r="C2" i="1"/>
  <c r="B2" i="1"/>
  <c r="B67" i="6" l="1"/>
  <c r="AF80" i="6"/>
  <c r="N82" i="6"/>
  <c r="Z82" i="6"/>
  <c r="T38" i="6"/>
  <c r="I49" i="6"/>
  <c r="T58" i="6"/>
  <c r="E65" i="6"/>
  <c r="K67" i="6"/>
  <c r="W67" i="6"/>
  <c r="B68" i="6"/>
  <c r="Z68" i="6"/>
  <c r="K81" i="6"/>
  <c r="L49" i="6"/>
  <c r="L94" i="6"/>
  <c r="R69" i="6"/>
  <c r="K80" i="6"/>
  <c r="W80" i="6"/>
  <c r="N81" i="6"/>
  <c r="Z81" i="6"/>
  <c r="E82" i="6"/>
  <c r="AC82" i="6"/>
  <c r="H83" i="6"/>
  <c r="T83" i="6"/>
  <c r="AF83" i="6"/>
  <c r="U84" i="6"/>
  <c r="W81" i="6"/>
  <c r="W38" i="6"/>
  <c r="O49" i="6"/>
  <c r="W58" i="6"/>
  <c r="H65" i="6"/>
  <c r="T65" i="6"/>
  <c r="AF65" i="6"/>
  <c r="K66" i="6"/>
  <c r="W66" i="6"/>
  <c r="N67" i="6"/>
  <c r="Z67" i="6"/>
  <c r="AC68" i="6"/>
  <c r="U69" i="6"/>
  <c r="X84" i="6"/>
  <c r="T80" i="6"/>
  <c r="R49" i="6"/>
  <c r="R94" i="6"/>
  <c r="X69" i="6"/>
  <c r="N80" i="6"/>
  <c r="E81" i="6"/>
  <c r="AC81" i="6"/>
  <c r="H82" i="6"/>
  <c r="T82" i="6"/>
  <c r="AF82" i="6"/>
  <c r="B82" i="6"/>
  <c r="E83" i="6"/>
  <c r="B38" i="6"/>
  <c r="N38" i="6"/>
  <c r="Z38" i="6"/>
  <c r="U49" i="6"/>
  <c r="Z58" i="6"/>
  <c r="AG59" i="6"/>
  <c r="W65" i="6"/>
  <c r="B66" i="6"/>
  <c r="N66" i="6"/>
  <c r="Z66" i="6"/>
  <c r="E67" i="6"/>
  <c r="Q67" i="6"/>
  <c r="H68" i="6"/>
  <c r="AC83" i="6"/>
  <c r="X94" i="6"/>
  <c r="E80" i="6"/>
  <c r="H81" i="6"/>
  <c r="T81" i="6"/>
  <c r="N83" i="6"/>
  <c r="Z83" i="6"/>
  <c r="H80" i="6"/>
  <c r="Q83" i="6"/>
  <c r="Q38" i="6"/>
  <c r="AC38" i="6"/>
  <c r="AA49" i="6"/>
  <c r="AC58" i="6"/>
  <c r="B65" i="6"/>
  <c r="E66" i="6"/>
  <c r="Q66" i="6"/>
  <c r="H67" i="6"/>
  <c r="AF67" i="6"/>
  <c r="K68" i="6"/>
  <c r="I69" i="6"/>
  <c r="AG69" i="6"/>
  <c r="AF81" i="6"/>
  <c r="AG84" i="6"/>
  <c r="AD84" i="6"/>
  <c r="AC80" i="6"/>
  <c r="Z80" i="6"/>
  <c r="AA84" i="6"/>
  <c r="W83" i="6"/>
  <c r="W82" i="6"/>
  <c r="R84" i="6"/>
  <c r="Q82" i="6"/>
  <c r="Q81" i="6"/>
  <c r="Q80" i="6"/>
  <c r="O84" i="6"/>
  <c r="K83" i="6"/>
  <c r="K82" i="6"/>
  <c r="L84" i="6"/>
  <c r="B81" i="6"/>
  <c r="B80" i="6"/>
  <c r="C84" i="6"/>
  <c r="B83" i="6"/>
  <c r="AF66" i="6"/>
  <c r="AF68" i="6"/>
  <c r="AC65" i="6"/>
  <c r="AC67" i="6"/>
  <c r="AC66" i="6"/>
  <c r="AA69" i="6"/>
  <c r="Z65" i="6"/>
  <c r="W68" i="6"/>
  <c r="T66" i="6"/>
  <c r="T68" i="6"/>
  <c r="T67" i="6"/>
  <c r="Q65" i="6"/>
  <c r="Q68" i="6"/>
  <c r="N68" i="6"/>
  <c r="O69" i="6"/>
  <c r="N65" i="6"/>
  <c r="L69" i="6"/>
  <c r="K65" i="6"/>
  <c r="H66" i="6"/>
  <c r="E68" i="6"/>
  <c r="F84" i="6"/>
  <c r="AH84" i="6"/>
  <c r="C69" i="6"/>
  <c r="AH69" i="6"/>
  <c r="F69" i="6"/>
  <c r="AF38" i="6"/>
  <c r="Q58" i="6"/>
  <c r="Z28" i="6"/>
  <c r="W28" i="6"/>
  <c r="T28" i="6"/>
  <c r="Q28" i="6"/>
  <c r="N28" i="6"/>
  <c r="K28" i="6"/>
  <c r="H28" i="6"/>
  <c r="E28" i="6"/>
  <c r="B28" i="6"/>
  <c r="AF27" i="6"/>
  <c r="AC27" i="6"/>
  <c r="Z27" i="6"/>
  <c r="W27" i="6"/>
  <c r="T27" i="6"/>
  <c r="Q27" i="6"/>
  <c r="N58" i="6"/>
  <c r="Q56" i="6"/>
  <c r="N56" i="6"/>
  <c r="K56" i="6"/>
  <c r="H56" i="6"/>
  <c r="E56" i="6"/>
  <c r="B56" i="6"/>
  <c r="AF55" i="6"/>
  <c r="AC55" i="6"/>
  <c r="Z55" i="6"/>
  <c r="W55" i="6"/>
  <c r="T55" i="6"/>
  <c r="Q55" i="6"/>
  <c r="N55" i="6"/>
  <c r="K55" i="6"/>
  <c r="H55" i="6"/>
  <c r="E55" i="6"/>
  <c r="B55" i="6"/>
  <c r="W45" i="6"/>
  <c r="T45" i="6"/>
  <c r="Q45" i="6"/>
  <c r="N45" i="6"/>
  <c r="K45" i="6"/>
  <c r="H45" i="6"/>
  <c r="E45" i="6"/>
  <c r="B45" i="6"/>
  <c r="AC28" i="6"/>
  <c r="W17" i="6"/>
  <c r="T17" i="6"/>
  <c r="AF16" i="6"/>
  <c r="W16" i="6"/>
  <c r="T16" i="6"/>
  <c r="K58" i="6"/>
  <c r="H58" i="6"/>
  <c r="E58" i="6"/>
  <c r="B58" i="6"/>
  <c r="AF57" i="6"/>
  <c r="AC57" i="6"/>
  <c r="Z57" i="6"/>
  <c r="W57" i="6"/>
  <c r="T57" i="6"/>
  <c r="Q57" i="6"/>
  <c r="N57" i="6"/>
  <c r="K57" i="6"/>
  <c r="H57" i="6"/>
  <c r="E57" i="6"/>
  <c r="B57" i="6"/>
  <c r="AF56" i="6"/>
  <c r="AC56" i="6"/>
  <c r="Z56" i="6"/>
  <c r="W56" i="6"/>
  <c r="T56" i="6"/>
  <c r="AH39" i="6"/>
  <c r="AF29" i="6"/>
  <c r="AC29" i="6"/>
  <c r="Z29" i="6"/>
  <c r="W29" i="6"/>
  <c r="T29" i="6"/>
  <c r="Q29" i="6"/>
  <c r="N29" i="6"/>
  <c r="K29" i="6"/>
  <c r="H29" i="6"/>
  <c r="E29" i="6"/>
  <c r="B29" i="6"/>
  <c r="AF28" i="6"/>
  <c r="K18" i="6"/>
  <c r="E18" i="6"/>
  <c r="AG20" i="6"/>
  <c r="AD20" i="6"/>
  <c r="AA20" i="6"/>
  <c r="X20" i="6"/>
  <c r="U20" i="6"/>
  <c r="R20" i="6"/>
  <c r="AH20" i="6"/>
  <c r="AF19" i="6"/>
  <c r="AC19" i="6"/>
  <c r="Z19" i="6"/>
  <c r="W19" i="6"/>
  <c r="T19" i="6"/>
  <c r="Q19" i="6"/>
  <c r="N19" i="6"/>
  <c r="K19" i="6"/>
  <c r="H19" i="6"/>
  <c r="E19" i="6"/>
  <c r="B19" i="6"/>
  <c r="AF18" i="6"/>
  <c r="AC18" i="6"/>
  <c r="Z18" i="6"/>
  <c r="W18" i="6"/>
  <c r="T18" i="6"/>
  <c r="Q18" i="6"/>
  <c r="N18" i="6"/>
  <c r="H18" i="6"/>
  <c r="B18" i="6"/>
  <c r="H93" i="6"/>
  <c r="B93" i="6"/>
  <c r="AC90" i="6"/>
  <c r="C39" i="6"/>
  <c r="AD59" i="6"/>
  <c r="AA59" i="6"/>
  <c r="X59" i="6"/>
  <c r="U59" i="6"/>
  <c r="R59" i="6"/>
  <c r="O59" i="6"/>
  <c r="L59" i="6"/>
  <c r="I59" i="6"/>
  <c r="C59" i="6"/>
  <c r="AF58" i="6"/>
  <c r="AF48" i="6"/>
  <c r="AC48" i="6"/>
  <c r="Z48" i="6"/>
  <c r="W48" i="6"/>
  <c r="T48" i="6"/>
  <c r="Q48" i="6"/>
  <c r="N48" i="6"/>
  <c r="K48" i="6"/>
  <c r="H48" i="6"/>
  <c r="E48" i="6"/>
  <c r="B48" i="6"/>
  <c r="AF47" i="6"/>
  <c r="AC47" i="6"/>
  <c r="Z47" i="6"/>
  <c r="W47" i="6"/>
  <c r="T47" i="6"/>
  <c r="Q47" i="6"/>
  <c r="N47" i="6"/>
  <c r="K47" i="6"/>
  <c r="H47" i="6"/>
  <c r="E47" i="6"/>
  <c r="B47" i="6"/>
  <c r="AF46" i="6"/>
  <c r="AC46" i="6"/>
  <c r="Z46" i="6"/>
  <c r="W46" i="6"/>
  <c r="T46" i="6"/>
  <c r="Q46" i="6"/>
  <c r="N46" i="6"/>
  <c r="K46" i="6"/>
  <c r="H46" i="6"/>
  <c r="E46" i="6"/>
  <c r="B46" i="6"/>
  <c r="AF45" i="6"/>
  <c r="AC45" i="6"/>
  <c r="Z45" i="6"/>
  <c r="AD39" i="6"/>
  <c r="U39" i="6"/>
  <c r="K38" i="6"/>
  <c r="H38" i="6"/>
  <c r="E38" i="6"/>
  <c r="AF37" i="6"/>
  <c r="AC37" i="6"/>
  <c r="Z37" i="6"/>
  <c r="W37" i="6"/>
  <c r="T37" i="6"/>
  <c r="Q37" i="6"/>
  <c r="N37" i="6"/>
  <c r="K37" i="6"/>
  <c r="H37" i="6"/>
  <c r="E37" i="6"/>
  <c r="B37" i="6"/>
  <c r="AF36" i="6"/>
  <c r="AC36" i="6"/>
  <c r="Z36" i="6"/>
  <c r="W36" i="6"/>
  <c r="T36" i="6"/>
  <c r="Q36" i="6"/>
  <c r="N36" i="6"/>
  <c r="K36" i="6"/>
  <c r="H36" i="6"/>
  <c r="E36" i="6"/>
  <c r="B36" i="6"/>
  <c r="AF35" i="6"/>
  <c r="AC35" i="6"/>
  <c r="Z35" i="6"/>
  <c r="W35" i="6"/>
  <c r="T35" i="6"/>
  <c r="Q35" i="6"/>
  <c r="K35" i="6"/>
  <c r="H35" i="6"/>
  <c r="B35" i="6"/>
  <c r="N27" i="6"/>
  <c r="K27" i="6"/>
  <c r="H27" i="6"/>
  <c r="E27" i="6"/>
  <c r="B27" i="6"/>
  <c r="AF26" i="6"/>
  <c r="AC26" i="6"/>
  <c r="Z26" i="6"/>
  <c r="W26" i="6"/>
  <c r="T26" i="6"/>
  <c r="Q26" i="6"/>
  <c r="N26" i="6"/>
  <c r="K26" i="6"/>
  <c r="H26" i="6"/>
  <c r="E26" i="6"/>
  <c r="B26" i="6"/>
  <c r="O20" i="6"/>
  <c r="L20" i="6"/>
  <c r="I20" i="6"/>
  <c r="C20" i="6"/>
  <c r="AF17" i="6"/>
  <c r="AC17" i="6"/>
  <c r="Z17" i="6"/>
  <c r="Q17" i="6"/>
  <c r="N17" i="6"/>
  <c r="K17" i="6"/>
  <c r="H17" i="6"/>
  <c r="E17" i="6"/>
  <c r="B17" i="6"/>
  <c r="AC16" i="6"/>
  <c r="Z16" i="6"/>
  <c r="Q16" i="6"/>
  <c r="N16" i="6"/>
  <c r="K16" i="6"/>
  <c r="H16" i="6"/>
  <c r="E16" i="6"/>
  <c r="B16" i="6"/>
  <c r="L39" i="6"/>
  <c r="W93" i="6"/>
  <c r="Q92" i="6"/>
  <c r="Q91" i="6"/>
  <c r="E91" i="6"/>
  <c r="Q90" i="6"/>
  <c r="T93" i="6"/>
  <c r="T92" i="6"/>
  <c r="K92" i="6"/>
  <c r="E92" i="6"/>
  <c r="T91" i="6"/>
  <c r="Z90" i="6"/>
  <c r="K90" i="6"/>
  <c r="Z93" i="6"/>
  <c r="H90" i="6"/>
  <c r="I39" i="6"/>
  <c r="AG39" i="6"/>
  <c r="AC93" i="6"/>
  <c r="Z92" i="6"/>
  <c r="N92" i="6"/>
  <c r="Z91" i="6"/>
  <c r="H91" i="6"/>
  <c r="E90" i="6"/>
  <c r="O39" i="6"/>
  <c r="K93" i="6"/>
  <c r="AC92" i="6"/>
  <c r="H92" i="6"/>
  <c r="AC91" i="6"/>
  <c r="N91" i="6"/>
  <c r="W90" i="6"/>
  <c r="N93" i="6"/>
  <c r="T90" i="6"/>
  <c r="E93" i="6"/>
  <c r="W92" i="6"/>
  <c r="B92" i="6"/>
  <c r="K91" i="6"/>
  <c r="B91" i="6"/>
  <c r="Q93" i="6"/>
  <c r="W91" i="6"/>
  <c r="N90" i="6"/>
  <c r="B90" i="6"/>
  <c r="AG49" i="6"/>
  <c r="C49" i="6"/>
  <c r="AH49" i="6"/>
  <c r="AA39" i="6"/>
  <c r="X39" i="6"/>
  <c r="R39" i="6"/>
  <c r="AH94" i="6"/>
  <c r="F94" i="6"/>
  <c r="AH59" i="6"/>
  <c r="F59" i="6"/>
  <c r="F39" i="6"/>
  <c r="F20" i="6"/>
  <c r="K26" i="3"/>
  <c r="Z16" i="3"/>
  <c r="T45" i="3"/>
  <c r="B45" i="3"/>
  <c r="B55" i="3"/>
  <c r="B73" i="3"/>
  <c r="E73" i="3"/>
  <c r="Q73" i="3"/>
  <c r="C20" i="3"/>
  <c r="AD74" i="3"/>
  <c r="F20" i="3"/>
  <c r="AD20" i="3"/>
  <c r="X59" i="3"/>
  <c r="U59" i="3"/>
  <c r="X39" i="3"/>
  <c r="C49" i="3"/>
  <c r="R74" i="3"/>
  <c r="H18" i="3"/>
  <c r="AF18" i="3"/>
  <c r="AC72" i="3"/>
  <c r="B72" i="3"/>
  <c r="E18" i="3"/>
  <c r="C39" i="3"/>
  <c r="AH74" i="3"/>
  <c r="T47" i="3"/>
  <c r="AF19" i="3"/>
  <c r="AF28" i="3"/>
  <c r="AF45" i="3"/>
  <c r="Z17" i="3"/>
  <c r="Z46" i="3"/>
  <c r="W48" i="3"/>
  <c r="W29" i="3"/>
  <c r="W19" i="3"/>
  <c r="T18" i="3"/>
  <c r="Q18" i="3"/>
  <c r="Q17" i="3"/>
  <c r="N17" i="3"/>
  <c r="K29" i="3"/>
  <c r="K19" i="3"/>
  <c r="E17" i="3"/>
  <c r="H27" i="3"/>
  <c r="H36" i="3"/>
  <c r="W37" i="3"/>
  <c r="E45" i="3"/>
  <c r="N47" i="3"/>
  <c r="AC26" i="3"/>
  <c r="Q35" i="3"/>
  <c r="N19" i="3"/>
  <c r="Z19" i="3"/>
  <c r="E26" i="3"/>
  <c r="K27" i="3"/>
  <c r="W27" i="3"/>
  <c r="N28" i="3"/>
  <c r="Q29" i="3"/>
  <c r="H35" i="3"/>
  <c r="AF35" i="3"/>
  <c r="K36" i="3"/>
  <c r="N37" i="3"/>
  <c r="W45" i="3"/>
  <c r="N46" i="3"/>
  <c r="H47" i="3"/>
  <c r="N48" i="3"/>
  <c r="AC57" i="3"/>
  <c r="L49" i="3"/>
  <c r="E35" i="3"/>
  <c r="AF36" i="3"/>
  <c r="K48" i="3"/>
  <c r="AC47" i="3"/>
  <c r="H19" i="3"/>
  <c r="T19" i="3"/>
  <c r="Q16" i="3"/>
  <c r="AC16" i="3"/>
  <c r="H17" i="3"/>
  <c r="T17" i="3"/>
  <c r="AF17" i="3"/>
  <c r="K18" i="3"/>
  <c r="W18" i="3"/>
  <c r="H26" i="3"/>
  <c r="T26" i="3"/>
  <c r="AF26" i="3"/>
  <c r="E27" i="3"/>
  <c r="R20" i="3"/>
  <c r="N26" i="3"/>
  <c r="K28" i="3"/>
  <c r="AC35" i="3"/>
  <c r="K37" i="3"/>
  <c r="Q19" i="3"/>
  <c r="AC19" i="3"/>
  <c r="K35" i="3"/>
  <c r="N36" i="3"/>
  <c r="Q37" i="3"/>
  <c r="T38" i="3"/>
  <c r="Z45" i="3"/>
  <c r="E46" i="3"/>
  <c r="T46" i="3"/>
  <c r="K47" i="3"/>
  <c r="E48" i="3"/>
  <c r="T27" i="3"/>
  <c r="W38" i="3"/>
  <c r="T16" i="3"/>
  <c r="AF16" i="3"/>
  <c r="K17" i="3"/>
  <c r="W17" i="3"/>
  <c r="W26" i="3"/>
  <c r="B27" i="3"/>
  <c r="U20" i="3"/>
  <c r="R39" i="3"/>
  <c r="AG59" i="3"/>
  <c r="AF27" i="3"/>
  <c r="Q26" i="3"/>
  <c r="Q27" i="3"/>
  <c r="AC27" i="3"/>
  <c r="H28" i="3"/>
  <c r="T28" i="3"/>
  <c r="N35" i="3"/>
  <c r="Z35" i="3"/>
  <c r="AC36" i="3"/>
  <c r="AF37" i="3"/>
  <c r="AC45" i="3"/>
  <c r="H46" i="3"/>
  <c r="W46" i="3"/>
  <c r="N27" i="3"/>
  <c r="Z27" i="3"/>
  <c r="E28" i="3"/>
  <c r="Q28" i="3"/>
  <c r="N29" i="3"/>
  <c r="W28" i="3"/>
  <c r="Z26" i="3"/>
  <c r="Z29" i="3"/>
  <c r="AF48" i="3"/>
  <c r="AF46" i="3"/>
  <c r="AF47" i="3"/>
  <c r="AC48" i="3"/>
  <c r="AC46" i="3"/>
  <c r="Z48" i="3"/>
  <c r="W47" i="3"/>
  <c r="O49" i="3"/>
  <c r="N45" i="3"/>
  <c r="K46" i="3"/>
  <c r="H45" i="3"/>
  <c r="AH49" i="3"/>
  <c r="Z38" i="3"/>
  <c r="Z36" i="3"/>
  <c r="W36" i="3"/>
  <c r="W35" i="3"/>
  <c r="T36" i="3"/>
  <c r="T35" i="3"/>
  <c r="T37" i="3"/>
  <c r="Q36" i="3"/>
  <c r="N38" i="3"/>
  <c r="L39" i="3"/>
  <c r="K38" i="3"/>
  <c r="H38" i="3"/>
  <c r="H37" i="3"/>
  <c r="E36" i="3"/>
  <c r="E38" i="3"/>
  <c r="E19" i="3"/>
  <c r="H29" i="3"/>
  <c r="Z28" i="3"/>
  <c r="AC28" i="3"/>
  <c r="Z37" i="3"/>
  <c r="AC37" i="3"/>
  <c r="H48" i="3"/>
  <c r="Z47" i="3"/>
  <c r="B28" i="3"/>
  <c r="B37" i="3"/>
  <c r="B46" i="3"/>
  <c r="B48" i="3"/>
  <c r="H55" i="3"/>
  <c r="T55" i="3"/>
  <c r="Z57" i="3"/>
  <c r="E58" i="3"/>
  <c r="F49" i="3"/>
  <c r="F59" i="3"/>
  <c r="L59" i="3"/>
  <c r="R59" i="3"/>
  <c r="AA59" i="3"/>
  <c r="AH59" i="3"/>
  <c r="B36" i="3"/>
  <c r="K55" i="3"/>
  <c r="W55" i="3"/>
  <c r="N56" i="3"/>
  <c r="Z56" i="3"/>
  <c r="Q57" i="3"/>
  <c r="T58" i="3"/>
  <c r="N16" i="3"/>
  <c r="O39" i="3"/>
  <c r="I49" i="3"/>
  <c r="R49" i="3"/>
  <c r="U49" i="3"/>
  <c r="AC16" i="4"/>
  <c r="T17" i="4"/>
  <c r="B19" i="4"/>
  <c r="N19" i="4"/>
  <c r="Z19" i="4"/>
  <c r="T29" i="3"/>
  <c r="AF29" i="3"/>
  <c r="F39" i="3"/>
  <c r="I39" i="3"/>
  <c r="E57" i="3"/>
  <c r="B16" i="3"/>
  <c r="B18" i="3"/>
  <c r="E26" i="4"/>
  <c r="Q26" i="4"/>
  <c r="AC26" i="4"/>
  <c r="H27" i="4"/>
  <c r="T27" i="4"/>
  <c r="AF27" i="4"/>
  <c r="K28" i="4"/>
  <c r="W28" i="4"/>
  <c r="B29" i="4"/>
  <c r="N29" i="4"/>
  <c r="Z29" i="4"/>
  <c r="E36" i="4"/>
  <c r="Q36" i="4"/>
  <c r="AC36" i="4"/>
  <c r="H37" i="4"/>
  <c r="T37" i="4"/>
  <c r="AF37" i="4"/>
  <c r="K38" i="4"/>
  <c r="W38" i="4"/>
  <c r="B39" i="4"/>
  <c r="N39" i="4"/>
  <c r="Z39" i="4"/>
  <c r="I20" i="3"/>
  <c r="O20" i="3"/>
  <c r="AA20" i="3"/>
  <c r="U39" i="3"/>
  <c r="AC58" i="3"/>
  <c r="E16" i="4"/>
  <c r="AF17" i="4"/>
  <c r="AC29" i="3"/>
  <c r="AC38" i="3"/>
  <c r="AF38" i="3"/>
  <c r="K45" i="3"/>
  <c r="T48" i="3"/>
  <c r="H58" i="3"/>
  <c r="B35" i="3"/>
  <c r="B47" i="3"/>
  <c r="Z55" i="3"/>
  <c r="AC56" i="3"/>
  <c r="H57" i="3"/>
  <c r="T57" i="3"/>
  <c r="AF57" i="3"/>
  <c r="AA39" i="3"/>
  <c r="AG39" i="3"/>
  <c r="X49" i="3"/>
  <c r="AA49" i="3"/>
  <c r="AD49" i="3"/>
  <c r="AG49" i="3"/>
  <c r="I59" i="3"/>
  <c r="O59" i="3"/>
  <c r="Q16" i="4"/>
  <c r="W18" i="4"/>
  <c r="B17" i="3"/>
  <c r="Z58" i="3"/>
  <c r="E46" i="4"/>
  <c r="Q46" i="4"/>
  <c r="AC46" i="4"/>
  <c r="H47" i="4"/>
  <c r="T47" i="4"/>
  <c r="AF47" i="4"/>
  <c r="K48" i="4"/>
  <c r="W48" i="4"/>
  <c r="B49" i="4"/>
  <c r="N49" i="4"/>
  <c r="Z49" i="4"/>
  <c r="E56" i="4"/>
  <c r="Q56" i="4"/>
  <c r="AC56" i="4"/>
  <c r="H57" i="4"/>
  <c r="T57" i="4"/>
  <c r="AF57" i="4"/>
  <c r="K58" i="4"/>
  <c r="W58" i="4"/>
  <c r="B59" i="4"/>
  <c r="N59" i="4"/>
  <c r="Z59" i="4"/>
  <c r="N56" i="4"/>
  <c r="E17" i="4"/>
  <c r="AC17" i="4"/>
  <c r="T38" i="4"/>
  <c r="K39" i="4"/>
  <c r="N6" i="4"/>
  <c r="L20" i="3"/>
  <c r="X20" i="3"/>
  <c r="AD59" i="3"/>
  <c r="AH39" i="3"/>
  <c r="AF58" i="3"/>
  <c r="H17" i="4"/>
  <c r="K18" i="4"/>
  <c r="B26" i="3"/>
  <c r="B29" i="3"/>
  <c r="B38" i="3"/>
  <c r="E55" i="3"/>
  <c r="Q55" i="3"/>
  <c r="AC55" i="3"/>
  <c r="H56" i="3"/>
  <c r="T56" i="3"/>
  <c r="AF56" i="3"/>
  <c r="K57" i="3"/>
  <c r="W57" i="3"/>
  <c r="B58" i="3"/>
  <c r="N58" i="3"/>
  <c r="N18" i="3"/>
  <c r="AG20" i="3"/>
  <c r="AD39" i="3"/>
  <c r="E56" i="3"/>
  <c r="K58" i="3"/>
  <c r="N55" i="3"/>
  <c r="Q56" i="3"/>
  <c r="AF55" i="3"/>
  <c r="K56" i="3"/>
  <c r="W56" i="3"/>
  <c r="B57" i="3"/>
  <c r="N57" i="3"/>
  <c r="Q58" i="3"/>
  <c r="W58" i="3"/>
  <c r="B19" i="3"/>
  <c r="H16" i="4"/>
  <c r="T16" i="4"/>
  <c r="AF16" i="4"/>
  <c r="K17" i="4"/>
  <c r="W17" i="4"/>
  <c r="B18" i="4"/>
  <c r="N18" i="4"/>
  <c r="Z18" i="4"/>
  <c r="E19" i="4"/>
  <c r="Q19" i="4"/>
  <c r="AC19" i="4"/>
  <c r="AC57" i="4"/>
  <c r="K16" i="4"/>
  <c r="W16" i="4"/>
  <c r="B17" i="4"/>
  <c r="N17" i="4"/>
  <c r="Z17" i="4"/>
  <c r="E18" i="4"/>
  <c r="Q18" i="4"/>
  <c r="AC18" i="4"/>
  <c r="H19" i="4"/>
  <c r="T19" i="4"/>
  <c r="AF19" i="4"/>
  <c r="E37" i="4"/>
  <c r="H46" i="4"/>
  <c r="T46" i="4"/>
  <c r="AF46" i="4"/>
  <c r="K47" i="4"/>
  <c r="W47" i="4"/>
  <c r="B48" i="4"/>
  <c r="N48" i="4"/>
  <c r="Z48" i="4"/>
  <c r="E49" i="4"/>
  <c r="Q49" i="4"/>
  <c r="AC49" i="4"/>
  <c r="H56" i="4"/>
  <c r="T56" i="4"/>
  <c r="AF56" i="4"/>
  <c r="K57" i="4"/>
  <c r="W57" i="4"/>
  <c r="B58" i="4"/>
  <c r="N58" i="4"/>
  <c r="Z58" i="4"/>
  <c r="E59" i="4"/>
  <c r="Q59" i="4"/>
  <c r="AC59" i="4"/>
  <c r="K59" i="4"/>
  <c r="B16" i="4"/>
  <c r="Z16" i="4"/>
  <c r="Q17" i="4"/>
  <c r="H18" i="4"/>
  <c r="AF18" i="4"/>
  <c r="W19" i="4"/>
  <c r="N16" i="4"/>
  <c r="K46" i="4"/>
  <c r="W46" i="4"/>
  <c r="B47" i="4"/>
  <c r="N47" i="4"/>
  <c r="Z47" i="4"/>
  <c r="E48" i="4"/>
  <c r="Q48" i="4"/>
  <c r="AC48" i="4"/>
  <c r="H49" i="4"/>
  <c r="T49" i="4"/>
  <c r="AF49" i="4"/>
  <c r="K56" i="4"/>
  <c r="W56" i="4"/>
  <c r="B57" i="4"/>
  <c r="N57" i="4"/>
  <c r="Z57" i="4"/>
  <c r="E58" i="4"/>
  <c r="Q58" i="4"/>
  <c r="AC58" i="4"/>
  <c r="H59" i="4"/>
  <c r="T59" i="4"/>
  <c r="AF59" i="4"/>
  <c r="H26" i="4"/>
  <c r="T26" i="4"/>
  <c r="AF26" i="4"/>
  <c r="K27" i="4"/>
  <c r="W27" i="4"/>
  <c r="B28" i="4"/>
  <c r="N28" i="4"/>
  <c r="Z28" i="4"/>
  <c r="E29" i="4"/>
  <c r="Q29" i="4"/>
  <c r="AC29" i="4"/>
  <c r="H36" i="4"/>
  <c r="T36" i="4"/>
  <c r="AF36" i="4"/>
  <c r="K37" i="4"/>
  <c r="W37" i="4"/>
  <c r="B38" i="4"/>
  <c r="N38" i="4"/>
  <c r="Z38" i="4"/>
  <c r="E39" i="4"/>
  <c r="Q39" i="4"/>
  <c r="AC39" i="4"/>
  <c r="B46" i="4"/>
  <c r="N46" i="4"/>
  <c r="Z46" i="4"/>
  <c r="E47" i="4"/>
  <c r="Q47" i="4"/>
  <c r="AC47" i="4"/>
  <c r="H48" i="4"/>
  <c r="T48" i="4"/>
  <c r="AF48" i="4"/>
  <c r="K49" i="4"/>
  <c r="W49" i="4"/>
  <c r="B56" i="4"/>
  <c r="Z56" i="4"/>
  <c r="Q57" i="4"/>
  <c r="H58" i="4"/>
  <c r="AF58" i="4"/>
  <c r="W59" i="4"/>
  <c r="K16" i="3"/>
  <c r="H16" i="3"/>
  <c r="Q45" i="3" l="1"/>
  <c r="Q48" i="3"/>
  <c r="Q46" i="3"/>
  <c r="Q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tc={11A94A3F-0175-4120-9218-27FCC15BD382}</author>
    <author>tc={9BCD1F72-E332-4FBD-B39F-4075EDF159B8}</author>
    <author>tc={1425A1E0-69D7-4CBB-8F70-1FAF55BFEB5D}</author>
    <author>tc={4328C78F-4D2B-4248-9587-4C4E74211F8F}</author>
    <author>tc={65F17929-2545-4C21-984D-10B08C86BF3E}</author>
    <author>tc={593D4F5B-D51D-418B-9660-DDF5357FEB44}</author>
    <author>tc={90580E23-6027-4079-9E00-47AB5897B690}</author>
    <author>tc={9917607A-90AD-4EA0-9764-8D2FBC121807}</author>
    <author>tc={88684918-0ADF-4185-ABD3-25AEA3428A6C}</author>
    <author>tc={578468A4-0778-463E-A3AA-9C4AE65B2642}</author>
    <author>tc={0D436D7B-DA78-4B7C-8DC3-63B2BD9525A8}</author>
    <author>tc={37C92205-7AB0-46ED-86C8-B117DEFF9009}</author>
    <author>tc={CBD147B7-52DC-4B1B-95AD-56450165C56D}</author>
    <author>tc={14AA04E9-2278-4BFA-B170-3AB6CD129A02}</author>
    <author>tc={EF74636A-2B79-4C95-AD56-B5133DB3D0B3}</author>
    <author>tc={D6D6F40A-2D83-4D72-BC8E-DBCB7292B56A}</author>
    <author>tc={2EBF3616-5FD1-4AF5-BA17-CDBC36C83500}</author>
    <author>tc={3F573F6B-6C3D-44B6-8643-9434ECCE111C}</author>
    <author>tc={B3CA0F2A-EAB2-47A0-8B01-036F200386E1}</author>
    <author>tc={E4DFEE38-8052-4B22-AF66-666779BE9960}</author>
    <author>tc={AF0EFC07-C0A3-497C-81DB-15C907422E3E}</author>
    <author>tc={A2430C68-3019-4AFD-BFC1-96E8726F3CE3}</author>
    <author>tc={2E91BEDF-A803-444A-9D0A-5AFAFC2AA0A8}</author>
    <author>tc={29622253-4B03-41FE-9187-CC432B1A599B}</author>
    <author>tc={02931DC7-307F-403B-9F04-5BD369270473}</author>
    <author>tc={D00CB98E-3DFC-4AD1-9BA4-5C2BD771E9E7}</author>
    <author>tc={5CF36801-5F7F-4773-AA8B-0473DF4636B8}</author>
    <author>tc={ED900EFC-E783-4DFC-9DC5-F7ED1B157608}</author>
    <author>tc={18D2E351-A592-4542-B93D-28B8064B000F}</author>
    <author>tc={C0256BA4-7C57-4B6E-BF1A-8D0CA6D24695}</author>
    <author>tc={CA3947F5-9C8F-40CB-A195-D41F7FCE13E2}</author>
    <author>tc={0382B4CF-B268-4E99-AE52-BD2FDD5286CA}</author>
    <author>tc={463FB117-5A53-4B9F-BDA5-977DDBF22B6F}</author>
    <author>tc={826CF079-D031-4A29-94D6-E51B66479B0F}</author>
    <author>tc={3F6DBB88-BAD1-48A8-943D-E4BA5D98DE35}</author>
    <author>tc={C48F1686-CB0F-4B67-BC74-56BC2B6017CA}</author>
    <author>tc={1A75B89B-01A8-4B63-B66C-34F8495F21BE}</author>
    <author>tc={06609754-305A-4B8B-A9A9-7E89C8755C00}</author>
    <author>tc={0FE436B1-745A-401C-82ED-D6E6946866EB}</author>
    <author>tc={218A0B2C-004F-458C-9265-AD416B9BBF3C}</author>
    <author>tc={153DC412-4536-4B19-98D0-351C57C210F9}</author>
    <author>tc={8E570E04-1572-4C62-B977-F78A13A31493}</author>
    <author>tc={F299B300-AE5C-4F04-8C94-43AFD53E26CD}</author>
    <author>tc={2CE23C79-2BA5-4753-8C3D-B1C173F10235}</author>
    <author>tc={BE090F36-9B19-4CC6-BFB4-E0661A286C17}</author>
    <author>tc={9351A926-5B5D-4D11-9759-3F5EDC4F0FAA}</author>
    <author>tc={E609F079-070C-4DCE-8AAD-1179D9A43A05}</author>
    <author>tc={75F67B21-5CC7-4913-8DAB-105E4FF9849C}</author>
    <author>tc={ECE8B23F-4DBC-44D3-B203-FF26992EC091}</author>
    <author>tc={1D219A3A-9035-4E0F-8BB7-7B8403B66544}</author>
    <author>tc={F44D770A-B94A-4077-B520-3ACF86591DDD}</author>
    <author>tc={0F9AE244-0D6B-4B67-8DA7-3C90A86CE0FB}</author>
    <author>tc={1BDBA3C0-5F29-483F-837A-58B749F309E4}</author>
    <author>tc={DF91839B-D6C5-4EB6-B728-DC6D3F5B36AE}</author>
    <author>tc={4D130772-B58E-4F42-A765-64A5FAD38DB1}</author>
    <author>tc={166239D6-DA52-4D52-B84D-C05DBF3A9B2E}</author>
    <author>tc={70743C5F-6816-4527-BDEC-7D03F5E40C8B}</author>
    <author>tc={9CD61D56-9EB6-44CB-BFBA-AE6B7DC5BDF0}</author>
    <author>tc={4342E2DE-41C0-4C65-BA15-6CFF2EBC0E17}</author>
    <author>tc={D6DCCC06-17E2-484C-A58B-0EFD88049059}</author>
    <author>tc={023CE1E6-07A0-4588-BC53-889FFD951C9C}</author>
    <author>tc={EB1C98D7-1845-4936-B83F-478A43F49491}</author>
    <author>tc={C3CEAD5F-3FEC-4F16-BCCC-FBCEDD1C2CD5}</author>
    <author>tc={F184A732-CCFF-45A5-9DDE-53F212E34042}</author>
    <author>tc={47383EBD-7BB8-4826-B6C7-ABAC6BA2A9AF}</author>
    <author>tc={A8C97707-507C-4AF7-A337-3E24CC0B3E6B}</author>
    <author>tc={50B50253-2B30-40DB-A2FE-1E8B70BCC68D}</author>
    <author>tc={5F15A6D8-99F6-440F-9F17-BBFF99A4D48C}</author>
    <author>tc={E7A34DC4-A7AA-4FA2-8997-026EBD333FFA}</author>
    <author>tc={3CB5B303-DC15-4431-9D0D-DB3782FD76D0}</author>
    <author>tc={E09F5EB6-7C28-4EDA-BDCF-09C5F6614617}</author>
    <author>tc={C19528E0-3687-4B9C-B925-00ADA326A9D4}</author>
    <author>tc={77939193-2986-4EE3-AFDB-DDD9694B02ED}</author>
    <author>tc={433AB70E-B143-4478-8647-19BD603396E8}</author>
    <author>tc={9D4BB3B1-2935-4AD2-B3D4-624B433BBC5F}</author>
    <author>tc={1BBD25DF-65EA-4B09-8333-E933F936BB6E}</author>
    <author>tc={89DA2C93-6F76-4D6D-969D-73F1622CF630}</author>
    <author>tc={21BA4C79-EF28-45ED-8321-0ACF8C37A7E4}</author>
    <author>tc={2CEBAB21-1B57-4168-A570-BD1643365A6B}</author>
    <author>tc={81EABFC1-037F-4C0D-98C8-19FA9FFAC890}</author>
    <author>tc={06C91A1D-24BC-4984-BB9E-7A7C91387897}</author>
    <author>tc={240CCF6A-4F3F-440A-831C-60831125446C}</author>
    <author>tc={576AD6DF-3082-41C5-93AF-A1E1BA5005C1}</author>
    <author>tc={25FE63A7-92F7-4CDE-80EE-368B8DAF5FDB}</author>
    <author>tc={D9C122AA-F166-4DBE-BAAC-070797735C0E}</author>
    <author>tc={6E6353E4-F915-4EAB-AB29-C1F31FEB330B}</author>
    <author>tc={517F1251-499A-4938-8895-FBE321387442}</author>
  </authors>
  <commentList>
    <comment ref="B16" authorId="0" shapeId="0" xr:uid="{11A94A3F-0175-4120-9218-27FCC15BD3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E16" authorId="1" shapeId="0" xr:uid="{9BCD1F72-E332-4FBD-B39F-4075EDF159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H16" authorId="2" shapeId="0" xr:uid="{1425A1E0-69D7-4CBB-8F70-1FAF55BFEB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K16" authorId="3" shapeId="0" xr:uid="{4328C78F-4D2B-4248-9587-4C4E74211F8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N16" authorId="4" shapeId="0" xr:uid="{65F17929-2545-4C21-984D-10B08C86B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Q16" authorId="5" shapeId="0" xr:uid="{593D4F5B-D51D-418B-9660-DDF5357FEB4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T16" authorId="6" shapeId="0" xr:uid="{90580E23-6027-4079-9E00-47AB5897B69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W16" authorId="7" shapeId="0" xr:uid="{9917607A-90AD-4EA0-9764-8D2FBC1218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Z16" authorId="8" shapeId="0" xr:uid="{88684918-0ADF-4185-ABD3-25AEA3428A6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C16" authorId="9" shapeId="0" xr:uid="{578468A4-0778-463E-A3AA-9C4AE65B26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F16" authorId="10" shapeId="0" xr:uid="{0D436D7B-DA78-4B7C-8DC3-63B2BD9525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B26" authorId="11" shapeId="0" xr:uid="{37C92205-7AB0-46ED-86C8-B117DEFF900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E26" authorId="12" shapeId="0" xr:uid="{CBD147B7-52DC-4B1B-95AD-56450165C56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H26" authorId="13" shapeId="0" xr:uid="{14AA04E9-2278-4BFA-B170-3AB6CD129A0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K26" authorId="14" shapeId="0" xr:uid="{EF74636A-2B79-4C95-AD56-B5133DB3D0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N26" authorId="15" shapeId="0" xr:uid="{D6D6F40A-2D83-4D72-BC8E-DBCB7292B56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Q26" authorId="16" shapeId="0" xr:uid="{2EBF3616-5FD1-4AF5-BA17-CDBC36C835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T26" authorId="17" shapeId="0" xr:uid="{3F573F6B-6C3D-44B6-8643-9434ECCE1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W26" authorId="18" shapeId="0" xr:uid="{B3CA0F2A-EAB2-47A0-8B01-036F200386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Z26" authorId="19" shapeId="0" xr:uid="{E4DFEE38-8052-4B22-AF66-666779BE996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AC26" authorId="20" shapeId="0" xr:uid="{AF0EFC07-C0A3-497C-81DB-15C907422E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AF26" authorId="21" shapeId="0" xr:uid="{A2430C68-3019-4AFD-BFC1-96E8726F3C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B35" authorId="22" shapeId="0" xr:uid="{2E91BEDF-A803-444A-9D0A-5AFAFC2AA0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E35" authorId="23" shapeId="0" xr:uid="{29622253-4B03-41FE-9187-CC432B1A599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H35" authorId="24" shapeId="0" xr:uid="{02931DC7-307F-403B-9F04-5BD36927047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K35" authorId="25" shapeId="0" xr:uid="{D00CB98E-3DFC-4AD1-9BA4-5C2BD771E9E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N35" authorId="26" shapeId="0" xr:uid="{5CF36801-5F7F-4773-AA8B-0473DF463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Q35" authorId="27" shapeId="0" xr:uid="{ED900EFC-E783-4DFC-9DC5-F7ED1B1576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T35" authorId="28" shapeId="0" xr:uid="{18D2E351-A592-4542-B93D-28B8064B000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W35" authorId="29" shapeId="0" xr:uid="{C0256BA4-7C57-4B6E-BF1A-8D0CA6D246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Z35" authorId="30" shapeId="0" xr:uid="{CA3947F5-9C8F-40CB-A195-D41F7FCE13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AC35" authorId="31" shapeId="0" xr:uid="{0382B4CF-B268-4E99-AE52-BD2FDD5286C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AF35" authorId="32" shapeId="0" xr:uid="{463FB117-5A53-4B9F-BDA5-977DDBF22B6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B45" authorId="33" shapeId="0" xr:uid="{826CF079-D031-4A29-94D6-E51B66479B0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E45" authorId="34" shapeId="0" xr:uid="{3F6DBB88-BAD1-48A8-943D-E4BA5D98DE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H45" authorId="35" shapeId="0" xr:uid="{C48F1686-CB0F-4B67-BC74-56BC2B60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K45" authorId="36" shapeId="0" xr:uid="{1A75B89B-01A8-4B63-B66C-34F8495F21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N45" authorId="37" shapeId="0" xr:uid="{06609754-305A-4B8B-A9A9-7E89C8755C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Q45" authorId="38" shapeId="0" xr:uid="{0FE436B1-745A-401C-82ED-D6E6946866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T45" authorId="39" shapeId="0" xr:uid="{218A0B2C-004F-458C-9265-AD416B9BBF3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W45" authorId="40" shapeId="0" xr:uid="{153DC412-4536-4B19-98D0-351C57C210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Z45" authorId="41" shapeId="0" xr:uid="{8E570E04-1572-4C62-B977-F78A13A314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AC45" authorId="42" shapeId="0" xr:uid="{F299B300-AE5C-4F04-8C94-43AFD53E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AF45" authorId="43" shapeId="0" xr:uid="{2CE23C79-2BA5-4753-8C3D-B1C173F102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B55" authorId="44" shapeId="0" xr:uid="{BE090F36-9B19-4CC6-BFB4-E0661A286C1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55" authorId="45" shapeId="0" xr:uid="{9351A926-5B5D-4D11-9759-3F5EDC4F0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55" authorId="46" shapeId="0" xr:uid="{E609F079-070C-4DCE-8AAD-1179D9A43A0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55" authorId="47" shapeId="0" xr:uid="{75F67B21-5CC7-4913-8DAB-105E4FF9849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55" authorId="48" shapeId="0" xr:uid="{ECE8B23F-4DBC-44D3-B203-FF26992EC09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55" authorId="49" shapeId="0" xr:uid="{1D219A3A-9035-4E0F-8BB7-7B8403B6654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55" authorId="50" shapeId="0" xr:uid="{F44D770A-B94A-4077-B520-3ACF86591DD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55" authorId="51" shapeId="0" xr:uid="{0F9AE244-0D6B-4B67-8DA7-3C90A86CE0F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55" authorId="52" shapeId="0" xr:uid="{1BDBA3C0-5F29-483F-837A-58B749F309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55" authorId="53" shapeId="0" xr:uid="{DF91839B-D6C5-4EB6-B728-DC6D3F5B36A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F55" authorId="54" shapeId="0" xr:uid="{4D130772-B58E-4F42-A765-64A5FAD38DB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B65" authorId="55" shapeId="0" xr:uid="{166239D6-DA52-4D52-B84D-C05DBF3A9B2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65" authorId="56" shapeId="0" xr:uid="{70743C5F-6816-4527-BDEC-7D03F5E40C8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65" authorId="57" shapeId="0" xr:uid="{9CD61D56-9EB6-44CB-BFBA-AE6B7DC5B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65" authorId="58" shapeId="0" xr:uid="{4342E2DE-41C0-4C65-BA15-6CFF2EBC0E1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65" authorId="59" shapeId="0" xr:uid="{D6DCCC06-17E2-484C-A58B-0EFD880490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65" authorId="60" shapeId="0" xr:uid="{023CE1E6-07A0-4588-BC53-889FFD951C9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65" authorId="61" shapeId="0" xr:uid="{EB1C98D7-1845-4936-B83F-478A43F4949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65" authorId="62" shapeId="0" xr:uid="{C3CEAD5F-3FEC-4F16-BCCC-FBCEDD1C2C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65" authorId="63" shapeId="0" xr:uid="{F184A732-CCFF-45A5-9DDE-53F212E340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65" authorId="64" shapeId="0" xr:uid="{47383EBD-7BB8-4826-B6C7-ABAC6BA2A9A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F65" authorId="65" shapeId="0" xr:uid="{A8C97707-507C-4AF7-A337-3E24CC0B3E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B80" authorId="66" shapeId="0" xr:uid="{50B50253-2B30-40DB-A2FE-1E8B70BCC68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80" authorId="67" shapeId="0" xr:uid="{5F15A6D8-99F6-440F-9F17-BBFF99A4D48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80" authorId="68" shapeId="0" xr:uid="{E7A34DC4-A7AA-4FA2-8997-026EBD333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80" authorId="69" shapeId="0" xr:uid="{3CB5B303-DC15-4431-9D0D-DB3782FD76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80" authorId="70" shapeId="0" xr:uid="{E09F5EB6-7C28-4EDA-BDCF-09C5F661461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80" authorId="71" shapeId="0" xr:uid="{C19528E0-3687-4B9C-B925-00ADA326A9D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80" authorId="72" shapeId="0" xr:uid="{77939193-2986-4EE3-AFDB-DDD9694B02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80" authorId="73" shapeId="0" xr:uid="{433AB70E-B143-4478-8647-19BD603396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80" authorId="74" shapeId="0" xr:uid="{9D4BB3B1-2935-4AD2-B3D4-624B433BBC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80" authorId="75" shapeId="0" xr:uid="{1BBD25DF-65EA-4B09-8333-E933F936BB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F80" authorId="76" shapeId="0" xr:uid="{89DA2C93-6F76-4D6D-969D-73F1622CF63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B90" authorId="77" shapeId="0" xr:uid="{21BA4C79-EF28-45ED-8321-0ACF8C37A7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90" authorId="78" shapeId="0" xr:uid="{2CEBAB21-1B57-4168-A570-BD1643365A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90" authorId="79" shapeId="0" xr:uid="{81EABFC1-037F-4C0D-98C8-19FA9FFAC89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90" authorId="80" shapeId="0" xr:uid="{06C91A1D-24BC-4984-BB9E-7A7C913878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90" authorId="81" shapeId="0" xr:uid="{240CCF6A-4F3F-440A-831C-60831125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90" authorId="82" shapeId="0" xr:uid="{576AD6DF-3082-41C5-93AF-A1E1BA5005C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90" authorId="83" shapeId="0" xr:uid="{25FE63A7-92F7-4CDE-80EE-368B8DAF5F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90" authorId="84" shapeId="0" xr:uid="{D9C122AA-F166-4DBE-BAAC-070797735C0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90" authorId="85" shapeId="0" xr:uid="{6E6353E4-F915-4EAB-AB29-C1F31FEB330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90" authorId="86" shapeId="0" xr:uid="{517F1251-499A-4938-8895-FBE3213874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tc={42548498-2A37-402C-9635-221354E257C4}</author>
    <author>tc={35592BDD-0F22-4431-BCF0-CCEF6633D329}</author>
    <author>tc={662E5545-FD7E-41B7-8C60-69A9717B34F0}</author>
    <author>tc={8A9DF2B2-CE33-49B6-BEC1-2D5F97895877}</author>
    <author>tc={9A278055-E33F-4747-8488-37C3C6B92CE2}</author>
    <author>tc={19AB7F58-3DFC-4DA4-ABEB-D872DA38461B}</author>
    <author>tc={EEE94AEE-00B4-40B9-9F19-B3DDD66A34B3}</author>
    <author>tc={08B6C7ED-4023-4831-BB46-31FFC359B09E}</author>
    <author>tc={7E4E7E4E-9AA4-42AF-81DC-5234D2A72C45}</author>
    <author>tc={4DBB81DF-7FFB-4098-B062-E863C578E52B}</author>
    <author>tc={4056B119-0F73-4677-8E1A-A0B816BA696C}</author>
    <author>tc={36AF215C-20A3-4360-963C-DEC12594A6AE}</author>
    <author>tc={5384F884-CE8D-45B5-AA8F-1846CB88DCB5}</author>
    <author>tc={C0A5A5A4-6112-421D-A2CF-DA3C6155727D}</author>
    <author>tc={221BBF52-1175-45F7-9A34-4D0682BD4268}</author>
    <author>tc={CD7ED58F-68AC-450E-8EB3-585DA68BE679}</author>
    <author>tc={867AE216-27B5-4226-BC17-8AF32F85295D}</author>
    <author>tc={5F824227-C876-4542-8C34-13F6392353CF}</author>
    <author>tc={D88FDBB9-2D03-4E43-B896-D1DBAEA4A7E6}</author>
    <author>tc={E538A8FE-2479-4728-A494-8790E86F2503}</author>
    <author>tc={346F09DA-E7D5-46C9-9EB8-20B7B686196F}</author>
    <author>tc={A784E7BC-200F-4A0D-BFF0-7ECA7A3B4D52}</author>
    <author>tc={6FF3C47B-E953-463A-A1AF-AAA7A7D96CB3}</author>
    <author>tc={3E21F53A-92A1-42E9-9D7C-2925C7580703}</author>
    <author>tc={96829BB5-C2E4-48C2-989E-1C341B849EC8}</author>
    <author>tc={B5071B58-3E44-45A7-9E45-36071EAD6A88}</author>
    <author>tc={ED6AB090-A16C-49DF-AACF-42A694A2C8A9}</author>
    <author>tc={C4BEDF50-7E3C-4B46-BC9B-2890588244C2}</author>
    <author>tc={9D99408C-DD58-47AF-BC0F-59692DB40737}</author>
    <author>tc={F1003F08-5924-46EE-84A4-8B61613F7698}</author>
    <author>tc={94399507-3506-4E90-ADAD-960DFE72C0EA}</author>
    <author>tc={441D567A-9F94-448F-8E2A-199FB98A7993}</author>
    <author>tc={715224B3-5F59-4DFC-ABAB-182F6EB7F524}</author>
    <author>tc={EF6C2A9E-1C2B-4D38-BFE2-3BC4757889E3}</author>
    <author>tc={266F859E-6430-4CE6-89F0-B9222BB80895}</author>
    <author>tc={06296BED-336B-4D48-8E89-247CC073035E}</author>
    <author>tc={E6D0E0E1-6569-490D-B13B-8D35CD1A7D42}</author>
    <author>tc={D96D90F3-A49C-4B68-8F59-344255E8C6FF}</author>
    <author>tc={5C977EF4-BC42-4168-A30C-B49EE830DE9E}</author>
    <author>tc={3D42E99D-D7D8-4A96-9399-0565FE872343}</author>
    <author>tc={4C69BBA0-699A-4E8D-B80F-52FD87A9E7A2}</author>
    <author>tc={650F66A3-2CC9-4E84-93D9-BF9027E554A6}</author>
    <author>tc={C2F75924-A2E3-4312-A91F-2945BBDE6F32}</author>
    <author>tc={6FEF903E-C3E7-464C-AE60-B4C75CD46CF0}</author>
    <author>tc={96B14D24-94DC-431A-8295-4CB4F0A13163}</author>
    <author>tc={7C4A4D22-4635-4D2B-AB13-BD783D891093}</author>
    <author>tc={B988C825-92E4-42D6-9201-046B507B41BF}</author>
    <author>tc={2B04AB37-8C7E-4C7B-B423-162788B94128}</author>
    <author>tc={1EAEAE89-DDEE-47E5-A50F-5DE82DEC3142}</author>
    <author>tc={3D80584F-3F7A-4210-A42D-9534E452319C}</author>
    <author>tc={B6B1EA01-5110-4AA2-ADF9-211726ECCC13}</author>
    <author>tc={9A83C8DF-C54B-4ED9-9159-1066600A6EED}</author>
    <author>tc={295C84F6-DF99-497C-B406-F4B0EEEA3908}</author>
    <author>tc={4C271DAA-53BC-4DED-9114-74D4AE7C8D43}</author>
    <author>tc={1F0E72D9-4C38-444B-BCDB-8778E8CF74CC}</author>
    <author>tc={62F7694F-BCF5-43C1-A31E-E278DB1BA018}</author>
    <author>tc={8853B725-91E1-4416-AA85-CA77FCB9BDAA}</author>
    <author>tc={81A19C37-2E45-43FE-BC6C-45E1D8A2A6D4}</author>
    <author>tc={575A0066-000B-4EEE-9A59-A48FC1193DD2}</author>
    <author>tc={B1D89F21-E1DB-46BD-9966-1D3148918279}</author>
    <author>tc={E87175F9-51BE-4414-8BB8-264CC6D8614F}</author>
    <author>tc={52E9E40D-FE4A-49F4-8D41-71A2AB66E17B}</author>
    <author>tc={46726DC1-62A4-41EA-9AF3-72A5F7465465}</author>
    <author>tc={0D60439B-DA7C-425E-B730-7825141136EC}</author>
    <author>tc={59AE73DC-5DB1-40D0-9E2B-747A16761E0C}</author>
  </authors>
  <commentList>
    <comment ref="B16" authorId="0" shapeId="0" xr:uid="{42548498-2A37-402C-9635-221354E2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E16" authorId="1" shapeId="0" xr:uid="{35592BDD-0F22-4431-BCF0-CCEF6633D32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H16" authorId="2" shapeId="0" xr:uid="{662E5545-FD7E-41B7-8C60-69A9717B34F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K16" authorId="3" shapeId="0" xr:uid="{8A9DF2B2-CE33-49B6-BEC1-2D5F978958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N16" authorId="4" shapeId="0" xr:uid="{9A278055-E33F-4747-8488-37C3C6B92C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Q16" authorId="5" shapeId="0" xr:uid="{19AB7F58-3DFC-4DA4-ABEB-D872DA384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T16" authorId="6" shapeId="0" xr:uid="{EEE94AEE-00B4-40B9-9F19-B3DDD66A34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W16" authorId="7" shapeId="0" xr:uid="{08B6C7ED-4023-4831-BB46-31FFC359B09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Z16" authorId="8" shapeId="0" xr:uid="{7E4E7E4E-9AA4-42AF-81DC-5234D2A72C4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C16" authorId="9" shapeId="0" xr:uid="{4DBB81DF-7FFB-4098-B062-E863C578E5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F16" authorId="10" shapeId="0" xr:uid="{4056B119-0F73-4677-8E1A-A0B816BA696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B26" authorId="11" shapeId="0" xr:uid="{36AF215C-20A3-4360-963C-DEC12594A6A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E26" authorId="12" shapeId="0" xr:uid="{5384F884-CE8D-45B5-AA8F-1846CB88DC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H26" authorId="13" shapeId="0" xr:uid="{C0A5A5A4-6112-421D-A2CF-DA3C6155727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K26" authorId="14" shapeId="0" xr:uid="{221BBF52-1175-45F7-9A34-4D0682BD426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N26" authorId="15" shapeId="0" xr:uid="{CD7ED58F-68AC-450E-8EB3-585DA68BE6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Q26" authorId="16" shapeId="0" xr:uid="{867AE216-27B5-4226-BC17-8AF32F8529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T26" authorId="17" shapeId="0" xr:uid="{5F824227-C876-4542-8C34-13F6392353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W26" authorId="18" shapeId="0" xr:uid="{D88FDBB9-2D03-4E43-B896-D1DBAEA4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Z26" authorId="19" shapeId="0" xr:uid="{E538A8FE-2479-4728-A494-8790E86F25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AC26" authorId="20" shapeId="0" xr:uid="{346F09DA-E7D5-46C9-9EB8-20B7B686196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AF26" authorId="21" shapeId="0" xr:uid="{A784E7BC-200F-4A0D-BFF0-7ECA7A3B4D5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B35" authorId="22" shapeId="0" xr:uid="{6FF3C47B-E953-463A-A1AF-AAA7A7D96C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E35" authorId="23" shapeId="0" xr:uid="{3E21F53A-92A1-42E9-9D7C-2925C75807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H35" authorId="24" shapeId="0" xr:uid="{96829BB5-C2E4-48C2-989E-1C341B849EC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K35" authorId="25" shapeId="0" xr:uid="{B5071B58-3E44-45A7-9E45-36071EAD6A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N35" authorId="26" shapeId="0" xr:uid="{ED6AB090-A16C-49DF-AACF-42A694A2C8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Q35" authorId="27" shapeId="0" xr:uid="{C4BEDF50-7E3C-4B46-BC9B-2890588244C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T35" authorId="28" shapeId="0" xr:uid="{9D99408C-DD58-47AF-BC0F-59692DB407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W35" authorId="29" shapeId="0" xr:uid="{F1003F08-5924-46EE-84A4-8B61613F76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Z35" authorId="30" shapeId="0" xr:uid="{94399507-3506-4E90-ADAD-960DFE72C0E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AC35" authorId="31" shapeId="0" xr:uid="{441D567A-9F94-448F-8E2A-199FB98A79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AF35" authorId="32" shapeId="0" xr:uid="{715224B3-5F59-4DFC-ABAB-182F6EB7F52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B45" authorId="33" shapeId="0" xr:uid="{EF6C2A9E-1C2B-4D38-BFE2-3BC4757889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E45" authorId="34" shapeId="0" xr:uid="{266F859E-6430-4CE6-89F0-B9222BB808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H45" authorId="35" shapeId="0" xr:uid="{06296BED-336B-4D48-8E89-247CC073035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K45" authorId="36" shapeId="0" xr:uid="{E6D0E0E1-6569-490D-B13B-8D35CD1A7D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N45" authorId="37" shapeId="0" xr:uid="{D96D90F3-A49C-4B68-8F59-344255E8C6F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Q45" authorId="38" shapeId="0" xr:uid="{5C977EF4-BC42-4168-A30C-B49EE830DE9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T45" authorId="39" shapeId="0" xr:uid="{3D42E99D-D7D8-4A96-9399-0565FE872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W45" authorId="40" shapeId="0" xr:uid="{4C69BBA0-699A-4E8D-B80F-52FD87A9E7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Z45" authorId="41" shapeId="0" xr:uid="{650F66A3-2CC9-4E84-93D9-BF9027E554A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AC45" authorId="42" shapeId="0" xr:uid="{C2F75924-A2E3-4312-A91F-2945BBDE6F3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AF45" authorId="43" shapeId="0" xr:uid="{6FEF903E-C3E7-464C-AE60-B4C75CD46CF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B55" authorId="44" shapeId="0" xr:uid="{96B14D24-94DC-431A-8295-4CB4F0A1316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55" authorId="45" shapeId="0" xr:uid="{7C4A4D22-4635-4D2B-AB13-BD783D8910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55" authorId="46" shapeId="0" xr:uid="{B988C825-92E4-42D6-9201-046B507B41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55" authorId="47" shapeId="0" xr:uid="{2B04AB37-8C7E-4C7B-B423-162788B9412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55" authorId="48" shapeId="0" xr:uid="{1EAEAE89-DDEE-47E5-A50F-5DE82DEC31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55" authorId="49" shapeId="0" xr:uid="{3D80584F-3F7A-4210-A42D-9534E452319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55" authorId="50" shapeId="0" xr:uid="{B6B1EA01-5110-4AA2-ADF9-211726ECCC1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55" authorId="51" shapeId="0" xr:uid="{9A83C8DF-C54B-4ED9-9159-1066600A6E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55" authorId="52" shapeId="0" xr:uid="{295C84F6-DF99-497C-B406-F4B0EEEA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55" authorId="53" shapeId="0" xr:uid="{4C271DAA-53BC-4DED-9114-74D4AE7C8D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F55" authorId="54" shapeId="0" xr:uid="{1F0E72D9-4C38-444B-BCDB-8778E8CF74C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B70" authorId="55" shapeId="0" xr:uid="{62F7694F-BCF5-43C1-A31E-E278DB1BA01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70" authorId="56" shapeId="0" xr:uid="{8853B725-91E1-4416-AA85-CA77FCB9BDA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70" authorId="57" shapeId="0" xr:uid="{81A19C37-2E45-43FE-BC6C-45E1D8A2A6D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70" authorId="58" shapeId="0" xr:uid="{575A0066-000B-4EEE-9A59-A48FC1193D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70" authorId="59" shapeId="0" xr:uid="{B1D89F21-E1DB-46BD-9966-1D3148918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70" authorId="60" shapeId="0" xr:uid="{E87175F9-51BE-4414-8BB8-264CC6D8614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70" authorId="61" shapeId="0" xr:uid="{52E9E40D-FE4A-49F4-8D41-71A2AB66E17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70" authorId="62" shapeId="0" xr:uid="{46726DC1-62A4-41EA-9AF3-72A5F746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70" authorId="63" shapeId="0" xr:uid="{0D60439B-DA7C-425E-B730-7825141136E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70" authorId="64" shapeId="0" xr:uid="{59AE73DC-5DB1-40D0-9E2B-747A16761E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tc={8EAAC9C2-17A9-4435-81FD-083459BF9057}</author>
    <author>tc={556A4563-8E2D-4F66-AB3A-F2A922C9D368}</author>
    <author>tc={35DA7B2D-1A1D-4F20-A9FF-10682C26905D}</author>
    <author>tc={04EDC98A-FF16-4AA6-8637-6DC831CF1F64}</author>
    <author>tc={D2656214-FF51-4DAE-ACFC-0F7D7F12D156}</author>
    <author>tc={B17AACC7-06BD-4CD9-9D6A-4AAB35342982}</author>
    <author>tc={FCE14F3F-2DED-4147-A2A0-43D6974D9378}</author>
    <author>tc={4152A8D6-839E-4EE5-84CB-D67D5A23570C}</author>
    <author>tc={2190B36C-49B6-4A61-94AE-47B3D8BBF672}</author>
    <author>tc={5ABF81DE-2EBF-4147-875A-D44A74156FAC}</author>
    <author>tc={A19ADD72-E73A-4EAC-A83E-B2F8F99D267C}</author>
    <author>tc={461965DE-66CD-453F-91D9-521F368AC2C3}</author>
    <author>tc={6526B244-C4DA-477C-9657-CC4B709F6F16}</author>
    <author>tc={5163AE66-7FE8-42C0-B696-9CE805A7E397}</author>
    <author>tc={FB6FA128-85C9-437E-80BE-52FE04D7E452}</author>
    <author>tc={124E2027-2628-42F1-8706-381705B1AD07}</author>
    <author>tc={16B9D77D-29EC-49F1-9396-D80FC2694A83}</author>
    <author>tc={32294D14-DFE5-42E2-8B1C-4D4B5644E6DD}</author>
    <author>tc={6C196C06-91AC-4DE4-B0E7-99FA2F6E3BA8}</author>
    <author>tc={F656ACE7-10E6-4DE5-8BC2-6881664C82B0}</author>
    <author>tc={C010B4FF-C4C9-4F59-8ED7-31A476FCA3F2}</author>
    <author>tc={326A262E-19C4-4C1A-8769-13EF537E3C1F}</author>
    <author>tc={B1F213B9-D89B-4508-98C0-A70D21C256FE}</author>
    <author>tc={9D7CE9D8-CC7E-4478-AF01-FB1882F25487}</author>
    <author>tc={EDB614E9-D2C7-4D40-A0CC-AB7D401A8F5D}</author>
    <author>tc={D6F8E1FE-EF93-42CD-BCF8-1089503ACEAF}</author>
    <author>tc={31E5E9D0-33AB-4F52-9869-EC2BB11D81A2}</author>
    <author>tc={88BBCA65-2D44-4566-9122-CECE6877C21C}</author>
    <author>tc={61C7F657-3840-40A2-ADFE-760B83B92C3B}</author>
    <author>tc={1C3B8114-CF82-4055-BC45-CB56DF7AB3E4}</author>
    <author>tc={88FFC5AC-2418-46DC-B0A6-ACE97C461434}</author>
    <author>tc={5F79A635-503E-4D10-99CC-116A587326C5}</author>
    <author>tc={B61F6A14-AC27-42CD-A436-709A3F40885E}</author>
    <author>tc={C92BCEFC-5B4B-4571-A176-B557C1A655EB}</author>
    <author>tc={DA54E34E-EF99-4E62-853F-C4611D79F106}</author>
    <author>tc={A5039438-4577-457B-9D9C-D5D207B1F472}</author>
    <author>tc={4D640802-126F-48B6-B0E1-5289654583CF}</author>
    <author>tc={E565F7FF-0039-49B2-B937-D3254CB9EAA3}</author>
    <author>tc={E2E25597-56E6-4B7D-99B2-78A104FB3B41}</author>
    <author>tc={DB9EEBD0-28BD-4ABB-9E6A-F45B2EF4B777}</author>
    <author>tc={FC4D78FE-9A98-419D-845E-10D0B2992068}</author>
    <author>tc={66F7E9CA-DB44-40A2-AD2A-F13EAE46A6EB}</author>
    <author>tc={0FCF4EDD-6561-4764-A66D-48C8FD264495}</author>
    <author>tc={4908634D-4876-4AB3-9345-6E7600B1E174}</author>
    <author>tc={74111D07-8BD1-435C-9C9B-67C8706BB453}</author>
    <author>tc={C6F75171-F78C-4D8A-9C5B-99267E4E8648}</author>
    <author>tc={CACD0CF4-8C7D-4B40-98ED-BB36A223C1C2}</author>
    <author>tc={5574D368-1E01-4C83-ABCA-F5F33A561CA0}</author>
    <author>tc={810F65B9-93EC-4436-828D-35309CBA66F3}</author>
    <author>tc={22927DDE-33FD-4E11-B4EF-2C7A3541CD96}</author>
    <author>tc={254B3FD3-C875-4994-9D14-9F5DDF514E04}</author>
    <author>tc={5CD65AD0-C818-4111-9A31-096715E2845E}</author>
    <author>tc={82A4E754-24D6-4FF5-8DFD-D5C44289A279}</author>
    <author>tc={09CC351E-9F6A-4628-B172-633191B3EB15}</author>
    <author>tc={8CFE0DF7-F87A-49FF-AF64-5CA8CCCE7EC7}</author>
    <author>tc={ACF475C4-885B-40E8-96EE-EA51A5BE3E16}</author>
    <author>tc={6454227B-96CF-44E3-8C8E-11751D9BBD40}</author>
    <author>tc={099CDC44-7565-4D73-8BA0-4D767122C9D4}</author>
    <author>tc={18072CB3-65B0-4BF9-B3CB-231956BCCB4E}</author>
    <author>tc={FD4BDE53-7366-4924-ACA2-26FF042ECD54}</author>
    <author>tc={4499345A-C4E1-4A10-A8CD-CE7A64B941D8}</author>
    <author>tc={8EC7DCAA-43F6-451C-8244-8C3DEE42D8EB}</author>
    <author>tc={EBDDD994-EA33-4DDB-A2AE-53528CD2FE47}</author>
    <author>tc={B240B4C5-D387-409D-BFCA-443A2252B278}</author>
    <author>tc={A324D2F5-4612-4BCF-B25D-6BD773EACFA9}</author>
    <author>tc={AAFC962C-4144-4E84-96B3-4C94F29F8F6E}</author>
  </authors>
  <commentList>
    <comment ref="B6" authorId="0" shapeId="0" xr:uid="{8EAAC9C2-17A9-4435-81FD-083459BF905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E6" authorId="1" shapeId="0" xr:uid="{556A4563-8E2D-4F66-AB3A-F2A922C9D36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H6" authorId="2" shapeId="0" xr:uid="{35DA7B2D-1A1D-4F20-A9FF-10682C26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K6" authorId="3" shapeId="0" xr:uid="{04EDC98A-FF16-4AA6-8637-6DC831CF1F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N6" authorId="4" shapeId="0" xr:uid="{D2656214-FF51-4DAE-ACFC-0F7D7F12D15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Q6" authorId="5" shapeId="0" xr:uid="{B17AACC7-06BD-4CD9-9D6A-4AAB353429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T6" authorId="6" shapeId="0" xr:uid="{FCE14F3F-2DED-4147-A2A0-43D6974D937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W6" authorId="7" shapeId="0" xr:uid="{4152A8D6-839E-4EE5-84CB-D67D5A2357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Z6" authorId="8" shapeId="0" xr:uid="{2190B36C-49B6-4A61-94AE-47B3D8BBF6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C6" authorId="9" shapeId="0" xr:uid="{5ABF81DE-2EBF-4147-875A-D44A74156FA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F6" authorId="10" shapeId="0" xr:uid="{A19ADD72-E73A-4EAC-A83E-B2F8F99D26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B16" authorId="11" shapeId="0" xr:uid="{461965DE-66CD-453F-91D9-521F368AC2C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E16" authorId="12" shapeId="0" xr:uid="{6526B244-C4DA-477C-9657-CC4B709F6F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H16" authorId="13" shapeId="0" xr:uid="{5163AE66-7FE8-42C0-B696-9CE805A7E3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K16" authorId="14" shapeId="0" xr:uid="{FB6FA128-85C9-437E-80BE-52FE04D7E45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N16" authorId="15" shapeId="0" xr:uid="{124E2027-2628-42F1-8706-381705B1AD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Q16" authorId="16" shapeId="0" xr:uid="{16B9D77D-29EC-49F1-9396-D80FC2694A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T16" authorId="17" shapeId="0" xr:uid="{32294D14-DFE5-42E2-8B1C-4D4B5644E6D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W16" authorId="18" shapeId="0" xr:uid="{6C196C06-91AC-4DE4-B0E7-99FA2F6E3B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Z16" authorId="19" shapeId="0" xr:uid="{F656ACE7-10E6-4DE5-8BC2-6881664C82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C16" authorId="20" shapeId="0" xr:uid="{C010B4FF-C4C9-4F59-8ED7-31A476FCA3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AF16" authorId="21" shapeId="0" xr:uid="{326A262E-19C4-4C1A-8769-13EF537E3C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directly above it</t>
      </text>
    </comment>
    <comment ref="B26" authorId="22" shapeId="0" xr:uid="{B1F213B9-D89B-4508-98C0-A70D21C256F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E26" authorId="23" shapeId="0" xr:uid="{9D7CE9D8-CC7E-4478-AF01-FB1882F254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H26" authorId="24" shapeId="0" xr:uid="{EDB614E9-D2C7-4D40-A0CC-AB7D401A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K26" authorId="25" shapeId="0" xr:uid="{D6F8E1FE-EF93-42CD-BCF8-1089503ACEA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N26" authorId="26" shapeId="0" xr:uid="{31E5E9D0-33AB-4F52-9869-EC2BB11D81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Q26" authorId="27" shapeId="0" xr:uid="{88BBCA65-2D44-4566-9122-CECE6877C21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T26" authorId="28" shapeId="0" xr:uid="{61C7F657-3840-40A2-ADFE-760B83B92C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W26" authorId="29" shapeId="0" xr:uid="{1C3B8114-CF82-4055-BC45-CB56DF7A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Z26" authorId="30" shapeId="0" xr:uid="{88FFC5AC-2418-46DC-B0A6-ACE97C4614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AC26" authorId="31" shapeId="0" xr:uid="{5F79A635-503E-4D10-99CC-116A587326C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AF26" authorId="32" shapeId="0" xr:uid="{B61F6A14-AC27-42CD-A436-709A3F40885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2 above it</t>
      </text>
    </comment>
    <comment ref="B36" authorId="33" shapeId="0" xr:uid="{C92BCEFC-5B4B-4571-A176-B557C1A655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E36" authorId="34" shapeId="0" xr:uid="{DA54E34E-EF99-4E62-853F-C4611D79F10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H36" authorId="35" shapeId="0" xr:uid="{A5039438-4577-457B-9D9C-D5D207B1F4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K36" authorId="36" shapeId="0" xr:uid="{4D640802-126F-48B6-B0E1-5289654583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N36" authorId="37" shapeId="0" xr:uid="{E565F7FF-0039-49B2-B937-D3254CB9EA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Q36" authorId="38" shapeId="0" xr:uid="{E2E25597-56E6-4B7D-99B2-78A104FB3B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T36" authorId="39" shapeId="0" xr:uid="{DB9EEBD0-28BD-4ABB-9E6A-F45B2EF4B7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W36" authorId="40" shapeId="0" xr:uid="{FC4D78FE-9A98-419D-845E-10D0B299206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Z36" authorId="41" shapeId="0" xr:uid="{66F7E9CA-DB44-40A2-AD2A-F13EAE46A6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AC36" authorId="42" shapeId="0" xr:uid="{0FCF4EDD-6561-4764-A66D-48C8FD2644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AF36" authorId="43" shapeId="0" xr:uid="{4908634D-4876-4AB3-9345-6E7600B1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3 above it</t>
      </text>
    </comment>
    <comment ref="B46" authorId="44" shapeId="0" xr:uid="{74111D07-8BD1-435C-9C9B-67C8706BB45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E46" authorId="45" shapeId="0" xr:uid="{C6F75171-F78C-4D8A-9C5B-99267E4E86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H46" authorId="46" shapeId="0" xr:uid="{CACD0CF4-8C7D-4B40-98ED-BB36A223C1C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K46" authorId="47" shapeId="0" xr:uid="{5574D368-1E01-4C83-ABCA-F5F33A561CA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N46" authorId="48" shapeId="0" xr:uid="{810F65B9-93EC-4436-828D-35309CBA66F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Q46" authorId="49" shapeId="0" xr:uid="{22927DDE-33FD-4E11-B4EF-2C7A3541CD9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T46" authorId="50" shapeId="0" xr:uid="{254B3FD3-C875-4994-9D14-9F5DDF514E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W46" authorId="51" shapeId="0" xr:uid="{5CD65AD0-C818-4111-9A31-096715E2845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Z46" authorId="52" shapeId="0" xr:uid="{82A4E754-24D6-4FF5-8DFD-D5C44289A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AC46" authorId="53" shapeId="0" xr:uid="{09CC351E-9F6A-4628-B172-633191B3EB1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AF46" authorId="54" shapeId="0" xr:uid="{8CFE0DF7-F87A-49FF-AF64-5CA8CCCE7EC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4 above it</t>
      </text>
    </comment>
    <comment ref="B56" authorId="55" shapeId="0" xr:uid="{ACF475C4-885B-40E8-96EE-EA51A5BE3E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E56" authorId="56" shapeId="0" xr:uid="{6454227B-96CF-44E3-8C8E-11751D9BBD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H56" authorId="57" shapeId="0" xr:uid="{099CDC44-7565-4D73-8BA0-4D767122C9D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K56" authorId="58" shapeId="0" xr:uid="{18072CB3-65B0-4BF9-B3CB-231956BCCB4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N56" authorId="59" shapeId="0" xr:uid="{FD4BDE53-7366-4924-ACA2-26FF042ECD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Q56" authorId="60" shapeId="0" xr:uid="{4499345A-C4E1-4A10-A8CD-CE7A64B941D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T56" authorId="61" shapeId="0" xr:uid="{8EC7DCAA-43F6-451C-8244-8C3DEE42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W56" authorId="62" shapeId="0" xr:uid="{EBDDD994-EA33-4DDB-A2AE-53528CD2FE4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Z56" authorId="63" shapeId="0" xr:uid="{B240B4C5-D387-409D-BFCA-443A2252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C56" authorId="64" shapeId="0" xr:uid="{A324D2F5-4612-4BCF-B25D-6BD773EACF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  <comment ref="AF56" authorId="65" shapeId="0" xr:uid="{AAFC962C-4144-4E84-96B3-4C94F29F8F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check the current data against the one 5 above it</t>
      </text>
    </comment>
  </commentList>
</comments>
</file>

<file path=xl/sharedStrings.xml><?xml version="1.0" encoding="utf-8"?>
<sst xmlns="http://schemas.openxmlformats.org/spreadsheetml/2006/main" count="192" uniqueCount="25">
  <si>
    <t>11-molecules-37-pf-masers-first-RC-new-co</t>
  </si>
  <si>
    <t>11-molecules-no-pf-masers-first-RC-new-co</t>
  </si>
  <si>
    <t>129_11-mol-no-pf-masers-first-round-new-co-values_Results</t>
  </si>
  <si>
    <t>129_11-mol-no-pf-same-flags-as-RC-masers-first-new-co-values_Results</t>
  </si>
  <si>
    <t>129_11-mol-no-pf-same-flags-as-RC-masers-new-co-values_Results</t>
  </si>
  <si>
    <t>129_11-mol-no-pf-masers-new-co-values_Results</t>
  </si>
  <si>
    <t>CH3OD</t>
  </si>
  <si>
    <t>CH3OCH3</t>
  </si>
  <si>
    <t>HCOOCH3</t>
  </si>
  <si>
    <t>13CH3OH</t>
  </si>
  <si>
    <t>CH3CHO</t>
  </si>
  <si>
    <t>CH2DOH</t>
  </si>
  <si>
    <t>C2H5OH</t>
  </si>
  <si>
    <t>C2OHCHO</t>
  </si>
  <si>
    <t>HNCO</t>
  </si>
  <si>
    <t>CH3COCH3</t>
  </si>
  <si>
    <t>SUM</t>
  </si>
  <si>
    <t>SUM TOTAL</t>
  </si>
  <si>
    <t>10-moleculesmethanol-masers-flagged-10-mol_129Results</t>
  </si>
  <si>
    <t>129_11-mol-no-pf-masers-flagged-new-co-values-AGAIN-int-15-5-1_5-0Results Astro 1 5/1/26</t>
  </si>
  <si>
    <t>129_Results 11-mol-no-pf-masers-flagged-new-co-values Cluster Map 4/30/26</t>
  </si>
  <si>
    <t>129_11-mol-no-pf-masers-first-round-new-co-values_Results Cluster Testing OLD 4/25/26</t>
  </si>
  <si>
    <t>129_11-mol-no-pf-masers-new-co-values_Results Cluster Testing OLD 4/25/26</t>
  </si>
  <si>
    <t>129_11-mol-no-pf-masers-first-flagged-same-flags-RC-new-co-values-AGAIN-int-15-5-1_5-0Results Astro 5/2/26</t>
  </si>
  <si>
    <t>129_11-mol-no-pf-same-flags-as-RC-masers-new-co-values_Results Cluster 5/2/26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</si>
</sst>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1" xfId="0" applyBorder="1"/>
    <xf numFmtId="0" fontId="16" fillId="0" borderId="11" xfId="0" applyFont="1" applyBorder="1"/>
    <xf numFmtId="0" fontId="16" fillId="0" borderId="12" xfId="0" applyFont="1" applyBorder="1"/>
    <xf numFmtId="0" fontId="0" fillId="0" borderId="0" xfId="0" applyBorder="1"/>
    <xf numFmtId="0" fontId="16" fillId="0" borderId="0" xfId="0" applyFont="1" applyBorder="1"/>
    <xf numFmtId="0" fontId="16" fillId="0" borderId="13" xfId="0" applyFont="1" applyBorder="1"/>
    <xf numFmtId="0" fontId="0" fillId="0" borderId="14" xfId="0" applyBorder="1"/>
    <xf numFmtId="0" fontId="16" fillId="0" borderId="14" xfId="0" applyFont="1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llette Sarver" id="{C3D0740B-EB2E-473A-85AA-614A3ED4A7B2}" userId="S::ccsarver@wisc.edu::42985c7f-dde6-4387-a76a-a90997fa4dd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6" dT="2026-04-26T04:10:35.22" personId="{C3D0740B-EB2E-473A-85AA-614A3ED4A7B2}" id="{11A94A3F-0175-4120-9218-27FCC15BD382}">
    <text>These check the current data against the one directly above it</text>
  </threadedComment>
  <threadedComment ref="E16" dT="2026-04-26T04:10:35.22" personId="{C3D0740B-EB2E-473A-85AA-614A3ED4A7B2}" id="{9BCD1F72-E332-4FBD-B39F-4075EDF159B8}">
    <text>These check the current data against the one directly above it</text>
  </threadedComment>
  <threadedComment ref="H16" dT="2026-04-26T04:10:35.22" personId="{C3D0740B-EB2E-473A-85AA-614A3ED4A7B2}" id="{1425A1E0-69D7-4CBB-8F70-1FAF55BFEB5D}">
    <text>These check the current data against the one directly above it</text>
  </threadedComment>
  <threadedComment ref="K16" dT="2026-04-26T04:10:35.22" personId="{C3D0740B-EB2E-473A-85AA-614A3ED4A7B2}" id="{4328C78F-4D2B-4248-9587-4C4E74211F8F}">
    <text>These check the current data against the one directly above it</text>
  </threadedComment>
  <threadedComment ref="N16" dT="2026-04-26T04:10:35.22" personId="{C3D0740B-EB2E-473A-85AA-614A3ED4A7B2}" id="{65F17929-2545-4C21-984D-10B08C86BF3E}">
    <text>These check the current data against the one directly above it</text>
  </threadedComment>
  <threadedComment ref="Q16" dT="2026-04-26T04:10:35.22" personId="{C3D0740B-EB2E-473A-85AA-614A3ED4A7B2}" id="{593D4F5B-D51D-418B-9660-DDF5357FEB44}">
    <text>These check the current data against the one directly above it</text>
  </threadedComment>
  <threadedComment ref="T16" dT="2026-04-26T04:10:35.22" personId="{C3D0740B-EB2E-473A-85AA-614A3ED4A7B2}" id="{90580E23-6027-4079-9E00-47AB5897B690}">
    <text>These check the current data against the one directly above it</text>
  </threadedComment>
  <threadedComment ref="W16" dT="2026-04-26T04:10:35.22" personId="{C3D0740B-EB2E-473A-85AA-614A3ED4A7B2}" id="{9917607A-90AD-4EA0-9764-8D2FBC121807}">
    <text>These check the current data against the one directly above it</text>
  </threadedComment>
  <threadedComment ref="Z16" dT="2026-04-26T04:10:35.22" personId="{C3D0740B-EB2E-473A-85AA-614A3ED4A7B2}" id="{88684918-0ADF-4185-ABD3-25AEA3428A6C}">
    <text>These check the current data against the one directly above it</text>
  </threadedComment>
  <threadedComment ref="AC16" dT="2026-04-26T04:10:35.22" personId="{C3D0740B-EB2E-473A-85AA-614A3ED4A7B2}" id="{578468A4-0778-463E-A3AA-9C4AE65B2642}">
    <text>These check the current data against the one directly above it</text>
  </threadedComment>
  <threadedComment ref="AF16" dT="2026-04-26T04:10:35.22" personId="{C3D0740B-EB2E-473A-85AA-614A3ED4A7B2}" id="{0D436D7B-DA78-4B7C-8DC3-63B2BD9525A8}">
    <text>These check the current data against the one directly above it</text>
  </threadedComment>
  <threadedComment ref="B26" dT="2026-04-26T04:10:35.22" personId="{C3D0740B-EB2E-473A-85AA-614A3ED4A7B2}" id="{37C92205-7AB0-46ED-86C8-B117DEFF9009}">
    <text>These check the current data against the one 2 above it</text>
  </threadedComment>
  <threadedComment ref="E26" dT="2026-04-26T04:10:35.22" personId="{C3D0740B-EB2E-473A-85AA-614A3ED4A7B2}" id="{CBD147B7-52DC-4B1B-95AD-56450165C56D}">
    <text>These check the current data against the one 2 above it</text>
  </threadedComment>
  <threadedComment ref="H26" dT="2026-04-26T04:10:35.22" personId="{C3D0740B-EB2E-473A-85AA-614A3ED4A7B2}" id="{14AA04E9-2278-4BFA-B170-3AB6CD129A02}">
    <text>These check the current data against the one 2 above it</text>
  </threadedComment>
  <threadedComment ref="K26" dT="2026-04-26T04:10:35.22" personId="{C3D0740B-EB2E-473A-85AA-614A3ED4A7B2}" id="{EF74636A-2B79-4C95-AD56-B5133DB3D0B3}">
    <text>These check the current data against the one 2 above it</text>
  </threadedComment>
  <threadedComment ref="N26" dT="2026-04-26T04:10:35.22" personId="{C3D0740B-EB2E-473A-85AA-614A3ED4A7B2}" id="{D6D6F40A-2D83-4D72-BC8E-DBCB7292B56A}">
    <text>These check the current data against the one 2 above it</text>
  </threadedComment>
  <threadedComment ref="Q26" dT="2026-04-26T04:10:35.22" personId="{C3D0740B-EB2E-473A-85AA-614A3ED4A7B2}" id="{2EBF3616-5FD1-4AF5-BA17-CDBC36C83500}">
    <text>These check the current data against the one 2 above it</text>
  </threadedComment>
  <threadedComment ref="T26" dT="2026-04-26T04:10:35.22" personId="{C3D0740B-EB2E-473A-85AA-614A3ED4A7B2}" id="{3F573F6B-6C3D-44B6-8643-9434ECCE111C}">
    <text>These check the current data against the one 2 above it</text>
  </threadedComment>
  <threadedComment ref="W26" dT="2026-04-26T04:10:35.22" personId="{C3D0740B-EB2E-473A-85AA-614A3ED4A7B2}" id="{B3CA0F2A-EAB2-47A0-8B01-036F200386E1}">
    <text>These check the current data against the one 2 above it</text>
  </threadedComment>
  <threadedComment ref="Z26" dT="2026-04-26T04:10:35.22" personId="{C3D0740B-EB2E-473A-85AA-614A3ED4A7B2}" id="{E4DFEE38-8052-4B22-AF66-666779BE9960}">
    <text>These check the current data against the one 2 above it</text>
  </threadedComment>
  <threadedComment ref="AC26" dT="2026-04-26T04:10:35.22" personId="{C3D0740B-EB2E-473A-85AA-614A3ED4A7B2}" id="{AF0EFC07-C0A3-497C-81DB-15C907422E3E}">
    <text>These check the current data against the one 2 above it</text>
  </threadedComment>
  <threadedComment ref="AF26" dT="2026-04-26T04:10:35.22" personId="{C3D0740B-EB2E-473A-85AA-614A3ED4A7B2}" id="{A2430C68-3019-4AFD-BFC1-96E8726F3CE3}">
    <text>These check the current data against the one 2 above it</text>
  </threadedComment>
  <threadedComment ref="B35" dT="2026-04-26T04:10:35.22" personId="{C3D0740B-EB2E-473A-85AA-614A3ED4A7B2}" id="{2E91BEDF-A803-444A-9D0A-5AFAFC2AA0A8}">
    <text>These check the current data against the one 3 above it</text>
  </threadedComment>
  <threadedComment ref="E35" dT="2026-04-26T04:10:35.22" personId="{C3D0740B-EB2E-473A-85AA-614A3ED4A7B2}" id="{29622253-4B03-41FE-9187-CC432B1A599B}">
    <text>These check the current data against the one 3 above it</text>
  </threadedComment>
  <threadedComment ref="H35" dT="2026-04-26T04:10:35.22" personId="{C3D0740B-EB2E-473A-85AA-614A3ED4A7B2}" id="{02931DC7-307F-403B-9F04-5BD369270473}">
    <text>These check the current data against the one 3 above it</text>
  </threadedComment>
  <threadedComment ref="K35" dT="2026-04-26T04:10:35.22" personId="{C3D0740B-EB2E-473A-85AA-614A3ED4A7B2}" id="{D00CB98E-3DFC-4AD1-9BA4-5C2BD771E9E7}">
    <text>These check the current data against the one 3 above it</text>
  </threadedComment>
  <threadedComment ref="N35" dT="2026-04-26T04:10:35.22" personId="{C3D0740B-EB2E-473A-85AA-614A3ED4A7B2}" id="{5CF36801-5F7F-4773-AA8B-0473DF4636B8}">
    <text>These check the current data against the one 3 above it</text>
  </threadedComment>
  <threadedComment ref="Q35" dT="2026-04-26T04:10:35.22" personId="{C3D0740B-EB2E-473A-85AA-614A3ED4A7B2}" id="{ED900EFC-E783-4DFC-9DC5-F7ED1B157608}">
    <text>These check the current data against the one 3 above it</text>
  </threadedComment>
  <threadedComment ref="T35" dT="2026-04-26T04:10:35.22" personId="{C3D0740B-EB2E-473A-85AA-614A3ED4A7B2}" id="{18D2E351-A592-4542-B93D-28B8064B000F}">
    <text>These check the current data against the one 3 above it</text>
  </threadedComment>
  <threadedComment ref="W35" dT="2026-04-26T04:10:35.22" personId="{C3D0740B-EB2E-473A-85AA-614A3ED4A7B2}" id="{C0256BA4-7C57-4B6E-BF1A-8D0CA6D24695}">
    <text>These check the current data against the one 3 above it</text>
  </threadedComment>
  <threadedComment ref="Z35" dT="2026-04-26T04:10:35.22" personId="{C3D0740B-EB2E-473A-85AA-614A3ED4A7B2}" id="{CA3947F5-9C8F-40CB-A195-D41F7FCE13E2}">
    <text>These check the current data against the one 3 above it</text>
  </threadedComment>
  <threadedComment ref="AC35" dT="2026-04-26T04:10:35.22" personId="{C3D0740B-EB2E-473A-85AA-614A3ED4A7B2}" id="{0382B4CF-B268-4E99-AE52-BD2FDD5286CA}">
    <text>These check the current data against the one 3 above it</text>
  </threadedComment>
  <threadedComment ref="AF35" dT="2026-04-26T04:10:35.22" personId="{C3D0740B-EB2E-473A-85AA-614A3ED4A7B2}" id="{463FB117-5A53-4B9F-BDA5-977DDBF22B6F}">
    <text>These check the current data against the one 3 above it</text>
  </threadedComment>
  <threadedComment ref="B45" dT="2026-04-26T04:10:35.22" personId="{C3D0740B-EB2E-473A-85AA-614A3ED4A7B2}" id="{826CF079-D031-4A29-94D6-E51B66479B0F}">
    <text>These check the current data against the one 4 above it</text>
  </threadedComment>
  <threadedComment ref="E45" dT="2026-04-26T04:10:35.22" personId="{C3D0740B-EB2E-473A-85AA-614A3ED4A7B2}" id="{3F6DBB88-BAD1-48A8-943D-E4BA5D98DE35}">
    <text>These check the current data against the one 4 above it</text>
  </threadedComment>
  <threadedComment ref="H45" dT="2026-04-26T04:10:35.22" personId="{C3D0740B-EB2E-473A-85AA-614A3ED4A7B2}" id="{C48F1686-CB0F-4B67-BC74-56BC2B6017CA}">
    <text>These check the current data against the one 4 above it</text>
  </threadedComment>
  <threadedComment ref="K45" dT="2026-04-26T04:10:35.22" personId="{C3D0740B-EB2E-473A-85AA-614A3ED4A7B2}" id="{1A75B89B-01A8-4B63-B66C-34F8495F21BE}">
    <text>These check the current data against the one 4 above it</text>
  </threadedComment>
  <threadedComment ref="N45" dT="2026-04-26T04:10:35.22" personId="{C3D0740B-EB2E-473A-85AA-614A3ED4A7B2}" id="{06609754-305A-4B8B-A9A9-7E89C8755C00}">
    <text>These check the current data against the one 4 above it</text>
  </threadedComment>
  <threadedComment ref="Q45" dT="2026-04-26T04:10:35.22" personId="{C3D0740B-EB2E-473A-85AA-614A3ED4A7B2}" id="{0FE436B1-745A-401C-82ED-D6E6946866EB}">
    <text>These check the current data against the one 4 above it</text>
  </threadedComment>
  <threadedComment ref="T45" dT="2026-04-26T04:10:35.22" personId="{C3D0740B-EB2E-473A-85AA-614A3ED4A7B2}" id="{218A0B2C-004F-458C-9265-AD416B9BBF3C}">
    <text>These check the current data against the one 4 above it</text>
  </threadedComment>
  <threadedComment ref="W45" dT="2026-04-26T04:10:35.22" personId="{C3D0740B-EB2E-473A-85AA-614A3ED4A7B2}" id="{153DC412-4536-4B19-98D0-351C57C210F9}">
    <text>These check the current data against the one 4 above it</text>
  </threadedComment>
  <threadedComment ref="Z45" dT="2026-04-26T04:10:35.22" personId="{C3D0740B-EB2E-473A-85AA-614A3ED4A7B2}" id="{8E570E04-1572-4C62-B977-F78A13A31493}">
    <text>These check the current data against the one 4 above it</text>
  </threadedComment>
  <threadedComment ref="AC45" dT="2026-04-26T04:10:35.22" personId="{C3D0740B-EB2E-473A-85AA-614A3ED4A7B2}" id="{F299B300-AE5C-4F04-8C94-43AFD53E26CD}">
    <text>These check the current data against the one 4 above it</text>
  </threadedComment>
  <threadedComment ref="AF45" dT="2026-04-26T04:10:35.22" personId="{C3D0740B-EB2E-473A-85AA-614A3ED4A7B2}" id="{2CE23C79-2BA5-4753-8C3D-B1C173F10235}">
    <text>These check the current data against the one 4 above it</text>
  </threadedComment>
  <threadedComment ref="B55" dT="2026-04-26T04:10:35.22" personId="{C3D0740B-EB2E-473A-85AA-614A3ED4A7B2}" id="{BE090F36-9B19-4CC6-BFB4-E0661A286C17}">
    <text>These check the current data against the one 5 above it</text>
  </threadedComment>
  <threadedComment ref="E55" dT="2026-04-26T04:10:35.22" personId="{C3D0740B-EB2E-473A-85AA-614A3ED4A7B2}" id="{9351A926-5B5D-4D11-9759-3F5EDC4F0FAA}">
    <text>These check the current data against the one 5 above it</text>
  </threadedComment>
  <threadedComment ref="H55" dT="2026-04-26T04:10:35.22" personId="{C3D0740B-EB2E-473A-85AA-614A3ED4A7B2}" id="{E609F079-070C-4DCE-8AAD-1179D9A43A05}">
    <text>These check the current data against the one 5 above it</text>
  </threadedComment>
  <threadedComment ref="K55" dT="2026-04-26T04:10:35.22" personId="{C3D0740B-EB2E-473A-85AA-614A3ED4A7B2}" id="{75F67B21-5CC7-4913-8DAB-105E4FF9849C}">
    <text>These check the current data against the one 5 above it</text>
  </threadedComment>
  <threadedComment ref="N55" dT="2026-04-26T04:10:35.22" personId="{C3D0740B-EB2E-473A-85AA-614A3ED4A7B2}" id="{ECE8B23F-4DBC-44D3-B203-FF26992EC091}">
    <text>These check the current data against the one 5 above it</text>
  </threadedComment>
  <threadedComment ref="Q55" dT="2026-04-26T04:10:35.22" personId="{C3D0740B-EB2E-473A-85AA-614A3ED4A7B2}" id="{1D219A3A-9035-4E0F-8BB7-7B8403B66544}">
    <text>These check the current data against the one 5 above it</text>
  </threadedComment>
  <threadedComment ref="T55" dT="2026-04-26T04:10:35.22" personId="{C3D0740B-EB2E-473A-85AA-614A3ED4A7B2}" id="{F44D770A-B94A-4077-B520-3ACF86591DDD}">
    <text>These check the current data against the one 5 above it</text>
  </threadedComment>
  <threadedComment ref="W55" dT="2026-04-26T04:10:35.22" personId="{C3D0740B-EB2E-473A-85AA-614A3ED4A7B2}" id="{0F9AE244-0D6B-4B67-8DA7-3C90A86CE0FB}">
    <text>These check the current data against the one 5 above it</text>
  </threadedComment>
  <threadedComment ref="Z55" dT="2026-04-26T04:10:35.22" personId="{C3D0740B-EB2E-473A-85AA-614A3ED4A7B2}" id="{1BDBA3C0-5F29-483F-837A-58B749F309E4}">
    <text>These check the current data against the one 5 above it</text>
  </threadedComment>
  <threadedComment ref="AC55" dT="2026-04-26T04:10:35.22" personId="{C3D0740B-EB2E-473A-85AA-614A3ED4A7B2}" id="{DF91839B-D6C5-4EB6-B728-DC6D3F5B36AE}">
    <text>These check the current data against the one 5 above it</text>
  </threadedComment>
  <threadedComment ref="AF55" dT="2026-04-26T04:10:35.22" personId="{C3D0740B-EB2E-473A-85AA-614A3ED4A7B2}" id="{4D130772-B58E-4F42-A765-64A5FAD38DB1}">
    <text>These check the current data against the one 5 above it</text>
  </threadedComment>
  <threadedComment ref="B65" dT="2026-04-26T04:10:35.22" personId="{C3D0740B-EB2E-473A-85AA-614A3ED4A7B2}" id="{166239D6-DA52-4D52-B84D-C05DBF3A9B2E}">
    <text>These check the current data against the one 5 above it</text>
  </threadedComment>
  <threadedComment ref="E65" dT="2026-04-26T04:10:35.22" personId="{C3D0740B-EB2E-473A-85AA-614A3ED4A7B2}" id="{70743C5F-6816-4527-BDEC-7D03F5E40C8B}">
    <text>These check the current data against the one 5 above it</text>
  </threadedComment>
  <threadedComment ref="H65" dT="2026-04-26T04:10:35.22" personId="{C3D0740B-EB2E-473A-85AA-614A3ED4A7B2}" id="{9CD61D56-9EB6-44CB-BFBA-AE6B7DC5BDF0}">
    <text>These check the current data against the one 5 above it</text>
  </threadedComment>
  <threadedComment ref="K65" dT="2026-04-26T04:10:35.22" personId="{C3D0740B-EB2E-473A-85AA-614A3ED4A7B2}" id="{4342E2DE-41C0-4C65-BA15-6CFF2EBC0E17}">
    <text>These check the current data against the one 5 above it</text>
  </threadedComment>
  <threadedComment ref="N65" dT="2026-04-26T04:10:35.22" personId="{C3D0740B-EB2E-473A-85AA-614A3ED4A7B2}" id="{D6DCCC06-17E2-484C-A58B-0EFD88049059}">
    <text>These check the current data against the one 5 above it</text>
  </threadedComment>
  <threadedComment ref="Q65" dT="2026-04-26T04:10:35.22" personId="{C3D0740B-EB2E-473A-85AA-614A3ED4A7B2}" id="{023CE1E6-07A0-4588-BC53-889FFD951C9C}">
    <text>These check the current data against the one 5 above it</text>
  </threadedComment>
  <threadedComment ref="T65" dT="2026-04-26T04:10:35.22" personId="{C3D0740B-EB2E-473A-85AA-614A3ED4A7B2}" id="{EB1C98D7-1845-4936-B83F-478A43F49491}">
    <text>These check the current data against the one 5 above it</text>
  </threadedComment>
  <threadedComment ref="W65" dT="2026-04-26T04:10:35.22" personId="{C3D0740B-EB2E-473A-85AA-614A3ED4A7B2}" id="{C3CEAD5F-3FEC-4F16-BCCC-FBCEDD1C2CD5}">
    <text>These check the current data against the one 5 above it</text>
  </threadedComment>
  <threadedComment ref="Z65" dT="2026-04-26T04:10:35.22" personId="{C3D0740B-EB2E-473A-85AA-614A3ED4A7B2}" id="{F184A732-CCFF-45A5-9DDE-53F212E34042}">
    <text>These check the current data against the one 5 above it</text>
  </threadedComment>
  <threadedComment ref="AC65" dT="2026-04-26T04:10:35.22" personId="{C3D0740B-EB2E-473A-85AA-614A3ED4A7B2}" id="{47383EBD-7BB8-4826-B6C7-ABAC6BA2A9AF}">
    <text>These check the current data against the one 5 above it</text>
  </threadedComment>
  <threadedComment ref="AF65" dT="2026-04-26T04:10:35.22" personId="{C3D0740B-EB2E-473A-85AA-614A3ED4A7B2}" id="{A8C97707-507C-4AF7-A337-3E24CC0B3E6B}">
    <text>These check the current data against the one 5 above it</text>
  </threadedComment>
  <threadedComment ref="B80" dT="2026-04-26T04:10:35.22" personId="{C3D0740B-EB2E-473A-85AA-614A3ED4A7B2}" id="{50B50253-2B30-40DB-A2FE-1E8B70BCC68D}">
    <text>These check the current data against the one 5 above it</text>
  </threadedComment>
  <threadedComment ref="E80" dT="2026-04-26T04:10:35.22" personId="{C3D0740B-EB2E-473A-85AA-614A3ED4A7B2}" id="{5F15A6D8-99F6-440F-9F17-BBFF99A4D48C}">
    <text>These check the current data against the one 5 above it</text>
  </threadedComment>
  <threadedComment ref="H80" dT="2026-04-26T04:10:35.22" personId="{C3D0740B-EB2E-473A-85AA-614A3ED4A7B2}" id="{E7A34DC4-A7AA-4FA2-8997-026EBD333FFA}">
    <text>These check the current data against the one 5 above it</text>
  </threadedComment>
  <threadedComment ref="K80" dT="2026-04-26T04:10:35.22" personId="{C3D0740B-EB2E-473A-85AA-614A3ED4A7B2}" id="{3CB5B303-DC15-4431-9D0D-DB3782FD76D0}">
    <text>These check the current data against the one 5 above it</text>
  </threadedComment>
  <threadedComment ref="N80" dT="2026-04-26T04:10:35.22" personId="{C3D0740B-EB2E-473A-85AA-614A3ED4A7B2}" id="{E09F5EB6-7C28-4EDA-BDCF-09C5F6614617}">
    <text>These check the current data against the one 5 above it</text>
  </threadedComment>
  <threadedComment ref="Q80" dT="2026-04-26T04:10:35.22" personId="{C3D0740B-EB2E-473A-85AA-614A3ED4A7B2}" id="{C19528E0-3687-4B9C-B925-00ADA326A9D4}">
    <text>These check the current data against the one 5 above it</text>
  </threadedComment>
  <threadedComment ref="T80" dT="2026-04-26T04:10:35.22" personId="{C3D0740B-EB2E-473A-85AA-614A3ED4A7B2}" id="{77939193-2986-4EE3-AFDB-DDD9694B02ED}">
    <text>These check the current data against the one 5 above it</text>
  </threadedComment>
  <threadedComment ref="W80" dT="2026-04-26T04:10:35.22" personId="{C3D0740B-EB2E-473A-85AA-614A3ED4A7B2}" id="{433AB70E-B143-4478-8647-19BD603396E8}">
    <text>These check the current data against the one 5 above it</text>
  </threadedComment>
  <threadedComment ref="Z80" dT="2026-04-26T04:10:35.22" personId="{C3D0740B-EB2E-473A-85AA-614A3ED4A7B2}" id="{9D4BB3B1-2935-4AD2-B3D4-624B433BBC5F}">
    <text>These check the current data against the one 5 above it</text>
  </threadedComment>
  <threadedComment ref="AC80" dT="2026-04-26T04:10:35.22" personId="{C3D0740B-EB2E-473A-85AA-614A3ED4A7B2}" id="{1BBD25DF-65EA-4B09-8333-E933F936BB6E}">
    <text>These check the current data against the one 5 above it</text>
  </threadedComment>
  <threadedComment ref="AF80" dT="2026-04-26T04:10:35.22" personId="{C3D0740B-EB2E-473A-85AA-614A3ED4A7B2}" id="{89DA2C93-6F76-4D6D-969D-73F1622CF630}">
    <text>These check the current data against the one 5 above it</text>
  </threadedComment>
  <threadedComment ref="B90" dT="2026-04-26T04:10:35.22" personId="{C3D0740B-EB2E-473A-85AA-614A3ED4A7B2}" id="{21BA4C79-EF28-45ED-8321-0ACF8C37A7E4}">
    <text>These check the current data against the one 5 above it</text>
  </threadedComment>
  <threadedComment ref="E90" dT="2026-04-26T04:10:35.22" personId="{C3D0740B-EB2E-473A-85AA-614A3ED4A7B2}" id="{2CEBAB21-1B57-4168-A570-BD1643365A6B}">
    <text>These check the current data against the one 5 above it</text>
  </threadedComment>
  <threadedComment ref="H90" dT="2026-04-26T04:10:35.22" personId="{C3D0740B-EB2E-473A-85AA-614A3ED4A7B2}" id="{81EABFC1-037F-4C0D-98C8-19FA9FFAC890}">
    <text>These check the current data against the one 5 above it</text>
  </threadedComment>
  <threadedComment ref="K90" dT="2026-04-26T04:10:35.22" personId="{C3D0740B-EB2E-473A-85AA-614A3ED4A7B2}" id="{06C91A1D-24BC-4984-BB9E-7A7C91387897}">
    <text>These check the current data against the one 5 above it</text>
  </threadedComment>
  <threadedComment ref="N90" dT="2026-04-26T04:10:35.22" personId="{C3D0740B-EB2E-473A-85AA-614A3ED4A7B2}" id="{240CCF6A-4F3F-440A-831C-60831125446C}">
    <text>These check the current data against the one 5 above it</text>
  </threadedComment>
  <threadedComment ref="Q90" dT="2026-04-26T04:10:35.22" personId="{C3D0740B-EB2E-473A-85AA-614A3ED4A7B2}" id="{576AD6DF-3082-41C5-93AF-A1E1BA5005C1}">
    <text>These check the current data against the one 5 above it</text>
  </threadedComment>
  <threadedComment ref="T90" dT="2026-04-26T04:10:35.22" personId="{C3D0740B-EB2E-473A-85AA-614A3ED4A7B2}" id="{25FE63A7-92F7-4CDE-80EE-368B8DAF5FDB}">
    <text>These check the current data against the one 5 above it</text>
  </threadedComment>
  <threadedComment ref="W90" dT="2026-04-26T04:10:35.22" personId="{C3D0740B-EB2E-473A-85AA-614A3ED4A7B2}" id="{D9C122AA-F166-4DBE-BAAC-070797735C0E}">
    <text>These check the current data against the one 5 above it</text>
  </threadedComment>
  <threadedComment ref="Z90" dT="2026-04-26T04:10:35.22" personId="{C3D0740B-EB2E-473A-85AA-614A3ED4A7B2}" id="{6E6353E4-F915-4EAB-AB29-C1F31FEB330B}">
    <text>These check the current data against the one 5 above it</text>
  </threadedComment>
  <threadedComment ref="AC90" dT="2026-04-26T04:10:35.22" personId="{C3D0740B-EB2E-473A-85AA-614A3ED4A7B2}" id="{517F1251-499A-4938-8895-FBE321387442}">
    <text>These check the current data against the one 5 above it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6" dT="2026-04-26T04:10:35.22" personId="{C3D0740B-EB2E-473A-85AA-614A3ED4A7B2}" id="{42548498-2A37-402C-9635-221354E257C4}">
    <text>These check the current data against the one directly above it</text>
  </threadedComment>
  <threadedComment ref="E16" dT="2026-04-26T04:10:35.22" personId="{C3D0740B-EB2E-473A-85AA-614A3ED4A7B2}" id="{35592BDD-0F22-4431-BCF0-CCEF6633D329}">
    <text>These check the current data against the one directly above it</text>
  </threadedComment>
  <threadedComment ref="H16" dT="2026-04-26T04:10:35.22" personId="{C3D0740B-EB2E-473A-85AA-614A3ED4A7B2}" id="{662E5545-FD7E-41B7-8C60-69A9717B34F0}">
    <text>These check the current data against the one directly above it</text>
  </threadedComment>
  <threadedComment ref="K16" dT="2026-04-26T04:10:35.22" personId="{C3D0740B-EB2E-473A-85AA-614A3ED4A7B2}" id="{8A9DF2B2-CE33-49B6-BEC1-2D5F97895877}">
    <text>These check the current data against the one directly above it</text>
  </threadedComment>
  <threadedComment ref="N16" dT="2026-04-26T04:10:35.22" personId="{C3D0740B-EB2E-473A-85AA-614A3ED4A7B2}" id="{9A278055-E33F-4747-8488-37C3C6B92CE2}">
    <text>These check the current data against the one directly above it</text>
  </threadedComment>
  <threadedComment ref="Q16" dT="2026-04-26T04:10:35.22" personId="{C3D0740B-EB2E-473A-85AA-614A3ED4A7B2}" id="{19AB7F58-3DFC-4DA4-ABEB-D872DA38461B}">
    <text>These check the current data against the one directly above it</text>
  </threadedComment>
  <threadedComment ref="T16" dT="2026-04-26T04:10:35.22" personId="{C3D0740B-EB2E-473A-85AA-614A3ED4A7B2}" id="{EEE94AEE-00B4-40B9-9F19-B3DDD66A34B3}">
    <text>These check the current data against the one directly above it</text>
  </threadedComment>
  <threadedComment ref="W16" dT="2026-04-26T04:10:35.22" personId="{C3D0740B-EB2E-473A-85AA-614A3ED4A7B2}" id="{08B6C7ED-4023-4831-BB46-31FFC359B09E}">
    <text>These check the current data against the one directly above it</text>
  </threadedComment>
  <threadedComment ref="Z16" dT="2026-04-26T04:10:35.22" personId="{C3D0740B-EB2E-473A-85AA-614A3ED4A7B2}" id="{7E4E7E4E-9AA4-42AF-81DC-5234D2A72C45}">
    <text>These check the current data against the one directly above it</text>
  </threadedComment>
  <threadedComment ref="AC16" dT="2026-04-26T04:10:35.22" personId="{C3D0740B-EB2E-473A-85AA-614A3ED4A7B2}" id="{4DBB81DF-7FFB-4098-B062-E863C578E52B}">
    <text>These check the current data against the one directly above it</text>
  </threadedComment>
  <threadedComment ref="AF16" dT="2026-04-26T04:10:35.22" personId="{C3D0740B-EB2E-473A-85AA-614A3ED4A7B2}" id="{4056B119-0F73-4677-8E1A-A0B816BA696C}">
    <text>These check the current data against the one directly above it</text>
  </threadedComment>
  <threadedComment ref="B26" dT="2026-04-26T04:10:35.22" personId="{C3D0740B-EB2E-473A-85AA-614A3ED4A7B2}" id="{36AF215C-20A3-4360-963C-DEC12594A6AE}">
    <text>These check the current data against the one 2 above it</text>
  </threadedComment>
  <threadedComment ref="E26" dT="2026-04-26T04:10:35.22" personId="{C3D0740B-EB2E-473A-85AA-614A3ED4A7B2}" id="{5384F884-CE8D-45B5-AA8F-1846CB88DCB5}">
    <text>These check the current data against the one 2 above it</text>
  </threadedComment>
  <threadedComment ref="H26" dT="2026-04-26T04:10:35.22" personId="{C3D0740B-EB2E-473A-85AA-614A3ED4A7B2}" id="{C0A5A5A4-6112-421D-A2CF-DA3C6155727D}">
    <text>These check the current data against the one 2 above it</text>
  </threadedComment>
  <threadedComment ref="K26" dT="2026-04-26T04:10:35.22" personId="{C3D0740B-EB2E-473A-85AA-614A3ED4A7B2}" id="{221BBF52-1175-45F7-9A34-4D0682BD4268}">
    <text>These check the current data against the one 2 above it</text>
  </threadedComment>
  <threadedComment ref="N26" dT="2026-04-26T04:10:35.22" personId="{C3D0740B-EB2E-473A-85AA-614A3ED4A7B2}" id="{CD7ED58F-68AC-450E-8EB3-585DA68BE679}">
    <text>These check the current data against the one 2 above it</text>
  </threadedComment>
  <threadedComment ref="Q26" dT="2026-04-26T04:10:35.22" personId="{C3D0740B-EB2E-473A-85AA-614A3ED4A7B2}" id="{867AE216-27B5-4226-BC17-8AF32F85295D}">
    <text>These check the current data against the one 2 above it</text>
  </threadedComment>
  <threadedComment ref="T26" dT="2026-04-26T04:10:35.22" personId="{C3D0740B-EB2E-473A-85AA-614A3ED4A7B2}" id="{5F824227-C876-4542-8C34-13F6392353CF}">
    <text>These check the current data against the one 2 above it</text>
  </threadedComment>
  <threadedComment ref="W26" dT="2026-04-26T04:10:35.22" personId="{C3D0740B-EB2E-473A-85AA-614A3ED4A7B2}" id="{D88FDBB9-2D03-4E43-B896-D1DBAEA4A7E6}">
    <text>These check the current data against the one 2 above it</text>
  </threadedComment>
  <threadedComment ref="Z26" dT="2026-04-26T04:10:35.22" personId="{C3D0740B-EB2E-473A-85AA-614A3ED4A7B2}" id="{E538A8FE-2479-4728-A494-8790E86F2503}">
    <text>These check the current data against the one 2 above it</text>
  </threadedComment>
  <threadedComment ref="AC26" dT="2026-04-26T04:10:35.22" personId="{C3D0740B-EB2E-473A-85AA-614A3ED4A7B2}" id="{346F09DA-E7D5-46C9-9EB8-20B7B686196F}">
    <text>These check the current data against the one 2 above it</text>
  </threadedComment>
  <threadedComment ref="AF26" dT="2026-04-26T04:10:35.22" personId="{C3D0740B-EB2E-473A-85AA-614A3ED4A7B2}" id="{A784E7BC-200F-4A0D-BFF0-7ECA7A3B4D52}">
    <text>These check the current data against the one 2 above it</text>
  </threadedComment>
  <threadedComment ref="B35" dT="2026-04-26T04:10:35.22" personId="{C3D0740B-EB2E-473A-85AA-614A3ED4A7B2}" id="{6FF3C47B-E953-463A-A1AF-AAA7A7D96CB3}">
    <text>These check the current data against the one 3 above it</text>
  </threadedComment>
  <threadedComment ref="E35" dT="2026-04-26T04:10:35.22" personId="{C3D0740B-EB2E-473A-85AA-614A3ED4A7B2}" id="{3E21F53A-92A1-42E9-9D7C-2925C7580703}">
    <text>These check the current data against the one 3 above it</text>
  </threadedComment>
  <threadedComment ref="H35" dT="2026-04-26T04:10:35.22" personId="{C3D0740B-EB2E-473A-85AA-614A3ED4A7B2}" id="{96829BB5-C2E4-48C2-989E-1C341B849EC8}">
    <text>These check the current data against the one 3 above it</text>
  </threadedComment>
  <threadedComment ref="K35" dT="2026-04-26T04:10:35.22" personId="{C3D0740B-EB2E-473A-85AA-614A3ED4A7B2}" id="{B5071B58-3E44-45A7-9E45-36071EAD6A88}">
    <text>These check the current data against the one 3 above it</text>
  </threadedComment>
  <threadedComment ref="N35" dT="2026-04-26T04:10:35.22" personId="{C3D0740B-EB2E-473A-85AA-614A3ED4A7B2}" id="{ED6AB090-A16C-49DF-AACF-42A694A2C8A9}">
    <text>These check the current data against the one 3 above it</text>
  </threadedComment>
  <threadedComment ref="Q35" dT="2026-04-26T04:10:35.22" personId="{C3D0740B-EB2E-473A-85AA-614A3ED4A7B2}" id="{C4BEDF50-7E3C-4B46-BC9B-2890588244C2}">
    <text>These check the current data against the one 3 above it</text>
  </threadedComment>
  <threadedComment ref="T35" dT="2026-04-26T04:10:35.22" personId="{C3D0740B-EB2E-473A-85AA-614A3ED4A7B2}" id="{9D99408C-DD58-47AF-BC0F-59692DB40737}">
    <text>These check the current data against the one 3 above it</text>
  </threadedComment>
  <threadedComment ref="W35" dT="2026-04-26T04:10:35.22" personId="{C3D0740B-EB2E-473A-85AA-614A3ED4A7B2}" id="{F1003F08-5924-46EE-84A4-8B61613F7698}">
    <text>These check the current data against the one 3 above it</text>
  </threadedComment>
  <threadedComment ref="Z35" dT="2026-04-26T04:10:35.22" personId="{C3D0740B-EB2E-473A-85AA-614A3ED4A7B2}" id="{94399507-3506-4E90-ADAD-960DFE72C0EA}">
    <text>These check the current data against the one 3 above it</text>
  </threadedComment>
  <threadedComment ref="AC35" dT="2026-04-26T04:10:35.22" personId="{C3D0740B-EB2E-473A-85AA-614A3ED4A7B2}" id="{441D567A-9F94-448F-8E2A-199FB98A7993}">
    <text>These check the current data against the one 3 above it</text>
  </threadedComment>
  <threadedComment ref="AF35" dT="2026-04-26T04:10:35.22" personId="{C3D0740B-EB2E-473A-85AA-614A3ED4A7B2}" id="{715224B3-5F59-4DFC-ABAB-182F6EB7F524}">
    <text>These check the current data against the one 3 above it</text>
  </threadedComment>
  <threadedComment ref="B45" dT="2026-04-26T04:10:35.22" personId="{C3D0740B-EB2E-473A-85AA-614A3ED4A7B2}" id="{EF6C2A9E-1C2B-4D38-BFE2-3BC4757889E3}">
    <text>These check the current data against the one 4 above it</text>
  </threadedComment>
  <threadedComment ref="E45" dT="2026-04-26T04:10:35.22" personId="{C3D0740B-EB2E-473A-85AA-614A3ED4A7B2}" id="{266F859E-6430-4CE6-89F0-B9222BB80895}">
    <text>These check the current data against the one 4 above it</text>
  </threadedComment>
  <threadedComment ref="H45" dT="2026-04-26T04:10:35.22" personId="{C3D0740B-EB2E-473A-85AA-614A3ED4A7B2}" id="{06296BED-336B-4D48-8E89-247CC073035E}">
    <text>These check the current data against the one 4 above it</text>
  </threadedComment>
  <threadedComment ref="K45" dT="2026-04-26T04:10:35.22" personId="{C3D0740B-EB2E-473A-85AA-614A3ED4A7B2}" id="{E6D0E0E1-6569-490D-B13B-8D35CD1A7D42}">
    <text>These check the current data against the one 4 above it</text>
  </threadedComment>
  <threadedComment ref="N45" dT="2026-04-26T04:10:35.22" personId="{C3D0740B-EB2E-473A-85AA-614A3ED4A7B2}" id="{D96D90F3-A49C-4B68-8F59-344255E8C6FF}">
    <text>These check the current data against the one 4 above it</text>
  </threadedComment>
  <threadedComment ref="Q45" dT="2026-04-26T04:10:35.22" personId="{C3D0740B-EB2E-473A-85AA-614A3ED4A7B2}" id="{5C977EF4-BC42-4168-A30C-B49EE830DE9E}">
    <text>These check the current data against the one 4 above it</text>
  </threadedComment>
  <threadedComment ref="T45" dT="2026-04-26T04:10:35.22" personId="{C3D0740B-EB2E-473A-85AA-614A3ED4A7B2}" id="{3D42E99D-D7D8-4A96-9399-0565FE872343}">
    <text>These check the current data against the one 4 above it</text>
  </threadedComment>
  <threadedComment ref="W45" dT="2026-04-26T04:10:35.22" personId="{C3D0740B-EB2E-473A-85AA-614A3ED4A7B2}" id="{4C69BBA0-699A-4E8D-B80F-52FD87A9E7A2}">
    <text>These check the current data against the one 4 above it</text>
  </threadedComment>
  <threadedComment ref="Z45" dT="2026-04-26T04:10:35.22" personId="{C3D0740B-EB2E-473A-85AA-614A3ED4A7B2}" id="{650F66A3-2CC9-4E84-93D9-BF9027E554A6}">
    <text>These check the current data against the one 4 above it</text>
  </threadedComment>
  <threadedComment ref="AC45" dT="2026-04-26T04:10:35.22" personId="{C3D0740B-EB2E-473A-85AA-614A3ED4A7B2}" id="{C2F75924-A2E3-4312-A91F-2945BBDE6F32}">
    <text>These check the current data against the one 4 above it</text>
  </threadedComment>
  <threadedComment ref="AF45" dT="2026-04-26T04:10:35.22" personId="{C3D0740B-EB2E-473A-85AA-614A3ED4A7B2}" id="{6FEF903E-C3E7-464C-AE60-B4C75CD46CF0}">
    <text>These check the current data against the one 4 above it</text>
  </threadedComment>
  <threadedComment ref="B55" dT="2026-04-26T04:10:35.22" personId="{C3D0740B-EB2E-473A-85AA-614A3ED4A7B2}" id="{96B14D24-94DC-431A-8295-4CB4F0A13163}">
    <text>These check the current data against the one 5 above it</text>
  </threadedComment>
  <threadedComment ref="E55" dT="2026-04-26T04:10:35.22" personId="{C3D0740B-EB2E-473A-85AA-614A3ED4A7B2}" id="{7C4A4D22-4635-4D2B-AB13-BD783D891093}">
    <text>These check the current data against the one 5 above it</text>
  </threadedComment>
  <threadedComment ref="H55" dT="2026-04-26T04:10:35.22" personId="{C3D0740B-EB2E-473A-85AA-614A3ED4A7B2}" id="{B988C825-92E4-42D6-9201-046B507B41BF}">
    <text>These check the current data against the one 5 above it</text>
  </threadedComment>
  <threadedComment ref="K55" dT="2026-04-26T04:10:35.22" personId="{C3D0740B-EB2E-473A-85AA-614A3ED4A7B2}" id="{2B04AB37-8C7E-4C7B-B423-162788B94128}">
    <text>These check the current data against the one 5 above it</text>
  </threadedComment>
  <threadedComment ref="N55" dT="2026-04-26T04:10:35.22" personId="{C3D0740B-EB2E-473A-85AA-614A3ED4A7B2}" id="{1EAEAE89-DDEE-47E5-A50F-5DE82DEC3142}">
    <text>These check the current data against the one 5 above it</text>
  </threadedComment>
  <threadedComment ref="Q55" dT="2026-04-26T04:10:35.22" personId="{C3D0740B-EB2E-473A-85AA-614A3ED4A7B2}" id="{3D80584F-3F7A-4210-A42D-9534E452319C}">
    <text>These check the current data against the one 5 above it</text>
  </threadedComment>
  <threadedComment ref="T55" dT="2026-04-26T04:10:35.22" personId="{C3D0740B-EB2E-473A-85AA-614A3ED4A7B2}" id="{B6B1EA01-5110-4AA2-ADF9-211726ECCC13}">
    <text>These check the current data against the one 5 above it</text>
  </threadedComment>
  <threadedComment ref="W55" dT="2026-04-26T04:10:35.22" personId="{C3D0740B-EB2E-473A-85AA-614A3ED4A7B2}" id="{9A83C8DF-C54B-4ED9-9159-1066600A6EED}">
    <text>These check the current data against the one 5 above it</text>
  </threadedComment>
  <threadedComment ref="Z55" dT="2026-04-26T04:10:35.22" personId="{C3D0740B-EB2E-473A-85AA-614A3ED4A7B2}" id="{295C84F6-DF99-497C-B406-F4B0EEEA3908}">
    <text>These check the current data against the one 5 above it</text>
  </threadedComment>
  <threadedComment ref="AC55" dT="2026-04-26T04:10:35.22" personId="{C3D0740B-EB2E-473A-85AA-614A3ED4A7B2}" id="{4C271DAA-53BC-4DED-9114-74D4AE7C8D43}">
    <text>These check the current data against the one 5 above it</text>
  </threadedComment>
  <threadedComment ref="AF55" dT="2026-04-26T04:10:35.22" personId="{C3D0740B-EB2E-473A-85AA-614A3ED4A7B2}" id="{1F0E72D9-4C38-444B-BCDB-8778E8CF74CC}">
    <text>These check the current data against the one 5 above it</text>
  </threadedComment>
  <threadedComment ref="B70" dT="2026-04-26T04:10:35.22" personId="{C3D0740B-EB2E-473A-85AA-614A3ED4A7B2}" id="{62F7694F-BCF5-43C1-A31E-E278DB1BA018}">
    <text>These check the current data against the one 5 above it</text>
  </threadedComment>
  <threadedComment ref="E70" dT="2026-04-26T04:10:35.22" personId="{C3D0740B-EB2E-473A-85AA-614A3ED4A7B2}" id="{8853B725-91E1-4416-AA85-CA77FCB9BDAA}">
    <text>These check the current data against the one 5 above it</text>
  </threadedComment>
  <threadedComment ref="H70" dT="2026-04-26T04:10:35.22" personId="{C3D0740B-EB2E-473A-85AA-614A3ED4A7B2}" id="{81A19C37-2E45-43FE-BC6C-45E1D8A2A6D4}">
    <text>These check the current data against the one 5 above it</text>
  </threadedComment>
  <threadedComment ref="K70" dT="2026-04-26T04:10:35.22" personId="{C3D0740B-EB2E-473A-85AA-614A3ED4A7B2}" id="{575A0066-000B-4EEE-9A59-A48FC1193DD2}">
    <text>These check the current data against the one 5 above it</text>
  </threadedComment>
  <threadedComment ref="N70" dT="2026-04-26T04:10:35.22" personId="{C3D0740B-EB2E-473A-85AA-614A3ED4A7B2}" id="{B1D89F21-E1DB-46BD-9966-1D3148918279}">
    <text>These check the current data against the one 5 above it</text>
  </threadedComment>
  <threadedComment ref="Q70" dT="2026-04-26T04:10:35.22" personId="{C3D0740B-EB2E-473A-85AA-614A3ED4A7B2}" id="{E87175F9-51BE-4414-8BB8-264CC6D8614F}">
    <text>These check the current data against the one 5 above it</text>
  </threadedComment>
  <threadedComment ref="T70" dT="2026-04-26T04:10:35.22" personId="{C3D0740B-EB2E-473A-85AA-614A3ED4A7B2}" id="{52E9E40D-FE4A-49F4-8D41-71A2AB66E17B}">
    <text>These check the current data against the one 5 above it</text>
  </threadedComment>
  <threadedComment ref="W70" dT="2026-04-26T04:10:35.22" personId="{C3D0740B-EB2E-473A-85AA-614A3ED4A7B2}" id="{46726DC1-62A4-41EA-9AF3-72A5F7465465}">
    <text>These check the current data against the one 5 above it</text>
  </threadedComment>
  <threadedComment ref="Z70" dT="2026-04-26T04:10:35.22" personId="{C3D0740B-EB2E-473A-85AA-614A3ED4A7B2}" id="{0D60439B-DA7C-425E-B730-7825141136EC}">
    <text>These check the current data against the one 5 above it</text>
  </threadedComment>
  <threadedComment ref="AC70" dT="2026-04-26T04:10:35.22" personId="{C3D0740B-EB2E-473A-85AA-614A3ED4A7B2}" id="{59AE73DC-5DB1-40D0-9E2B-747A16761E0C}">
    <text>These check the current data against the one 5 above it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6-04-26T04:10:35.22" personId="{C3D0740B-EB2E-473A-85AA-614A3ED4A7B2}" id="{8EAAC9C2-17A9-4435-81FD-083459BF9057}">
    <text>These check the current data against the one directly above it</text>
  </threadedComment>
  <threadedComment ref="E6" dT="2026-04-26T04:10:35.22" personId="{C3D0740B-EB2E-473A-85AA-614A3ED4A7B2}" id="{556A4563-8E2D-4F66-AB3A-F2A922C9D368}">
    <text>These check the current data against the one directly above it</text>
  </threadedComment>
  <threadedComment ref="H6" dT="2026-04-26T04:10:35.22" personId="{C3D0740B-EB2E-473A-85AA-614A3ED4A7B2}" id="{35DA7B2D-1A1D-4F20-A9FF-10682C26905D}">
    <text>These check the current data against the one directly above it</text>
  </threadedComment>
  <threadedComment ref="K6" dT="2026-04-26T04:10:35.22" personId="{C3D0740B-EB2E-473A-85AA-614A3ED4A7B2}" id="{04EDC98A-FF16-4AA6-8637-6DC831CF1F64}">
    <text>These check the current data against the one directly above it</text>
  </threadedComment>
  <threadedComment ref="N6" dT="2026-04-26T04:10:35.22" personId="{C3D0740B-EB2E-473A-85AA-614A3ED4A7B2}" id="{D2656214-FF51-4DAE-ACFC-0F7D7F12D156}">
    <text>These check the current data against the one directly above it</text>
  </threadedComment>
  <threadedComment ref="Q6" dT="2026-04-26T04:10:35.22" personId="{C3D0740B-EB2E-473A-85AA-614A3ED4A7B2}" id="{B17AACC7-06BD-4CD9-9D6A-4AAB35342982}">
    <text>These check the current data against the one directly above it</text>
  </threadedComment>
  <threadedComment ref="T6" dT="2026-04-26T04:10:35.22" personId="{C3D0740B-EB2E-473A-85AA-614A3ED4A7B2}" id="{FCE14F3F-2DED-4147-A2A0-43D6974D9378}">
    <text>These check the current data against the one directly above it</text>
  </threadedComment>
  <threadedComment ref="W6" dT="2026-04-26T04:10:35.22" personId="{C3D0740B-EB2E-473A-85AA-614A3ED4A7B2}" id="{4152A8D6-839E-4EE5-84CB-D67D5A23570C}">
    <text>These check the current data against the one directly above it</text>
  </threadedComment>
  <threadedComment ref="Z6" dT="2026-04-26T04:10:35.22" personId="{C3D0740B-EB2E-473A-85AA-614A3ED4A7B2}" id="{2190B36C-49B6-4A61-94AE-47B3D8BBF672}">
    <text>These check the current data against the one directly above it</text>
  </threadedComment>
  <threadedComment ref="AC6" dT="2026-04-26T04:10:35.22" personId="{C3D0740B-EB2E-473A-85AA-614A3ED4A7B2}" id="{5ABF81DE-2EBF-4147-875A-D44A74156FAC}">
    <text>These check the current data against the one directly above it</text>
  </threadedComment>
  <threadedComment ref="AF6" dT="2026-04-26T04:10:35.22" personId="{C3D0740B-EB2E-473A-85AA-614A3ED4A7B2}" id="{A19ADD72-E73A-4EAC-A83E-B2F8F99D267C}">
    <text>These check the current data against the one directly above it</text>
  </threadedComment>
  <threadedComment ref="B16" dT="2026-04-26T04:10:35.22" personId="{C3D0740B-EB2E-473A-85AA-614A3ED4A7B2}" id="{461965DE-66CD-453F-91D9-521F368AC2C3}">
    <text>These check the current data against the one directly above it</text>
  </threadedComment>
  <threadedComment ref="E16" dT="2026-04-26T04:10:35.22" personId="{C3D0740B-EB2E-473A-85AA-614A3ED4A7B2}" id="{6526B244-C4DA-477C-9657-CC4B709F6F16}">
    <text>These check the current data against the one directly above it</text>
  </threadedComment>
  <threadedComment ref="H16" dT="2026-04-26T04:10:35.22" personId="{C3D0740B-EB2E-473A-85AA-614A3ED4A7B2}" id="{5163AE66-7FE8-42C0-B696-9CE805A7E397}">
    <text>These check the current data against the one directly above it</text>
  </threadedComment>
  <threadedComment ref="K16" dT="2026-04-26T04:10:35.22" personId="{C3D0740B-EB2E-473A-85AA-614A3ED4A7B2}" id="{FB6FA128-85C9-437E-80BE-52FE04D7E452}">
    <text>These check the current data against the one directly above it</text>
  </threadedComment>
  <threadedComment ref="N16" dT="2026-04-26T04:10:35.22" personId="{C3D0740B-EB2E-473A-85AA-614A3ED4A7B2}" id="{124E2027-2628-42F1-8706-381705B1AD07}">
    <text>These check the current data against the one directly above it</text>
  </threadedComment>
  <threadedComment ref="Q16" dT="2026-04-26T04:10:35.22" personId="{C3D0740B-EB2E-473A-85AA-614A3ED4A7B2}" id="{16B9D77D-29EC-49F1-9396-D80FC2694A83}">
    <text>These check the current data against the one directly above it</text>
  </threadedComment>
  <threadedComment ref="T16" dT="2026-04-26T04:10:35.22" personId="{C3D0740B-EB2E-473A-85AA-614A3ED4A7B2}" id="{32294D14-DFE5-42E2-8B1C-4D4B5644E6DD}">
    <text>These check the current data against the one directly above it</text>
  </threadedComment>
  <threadedComment ref="W16" dT="2026-04-26T04:10:35.22" personId="{C3D0740B-EB2E-473A-85AA-614A3ED4A7B2}" id="{6C196C06-91AC-4DE4-B0E7-99FA2F6E3BA8}">
    <text>These check the current data against the one directly above it</text>
  </threadedComment>
  <threadedComment ref="Z16" dT="2026-04-26T04:10:35.22" personId="{C3D0740B-EB2E-473A-85AA-614A3ED4A7B2}" id="{F656ACE7-10E6-4DE5-8BC2-6881664C82B0}">
    <text>These check the current data against the one directly above it</text>
  </threadedComment>
  <threadedComment ref="AC16" dT="2026-04-26T04:10:35.22" personId="{C3D0740B-EB2E-473A-85AA-614A3ED4A7B2}" id="{C010B4FF-C4C9-4F59-8ED7-31A476FCA3F2}">
    <text>These check the current data against the one directly above it</text>
  </threadedComment>
  <threadedComment ref="AF16" dT="2026-04-26T04:10:35.22" personId="{C3D0740B-EB2E-473A-85AA-614A3ED4A7B2}" id="{326A262E-19C4-4C1A-8769-13EF537E3C1F}">
    <text>These check the current data against the one directly above it</text>
  </threadedComment>
  <threadedComment ref="B26" dT="2026-04-26T04:10:35.22" personId="{C3D0740B-EB2E-473A-85AA-614A3ED4A7B2}" id="{B1F213B9-D89B-4508-98C0-A70D21C256FE}">
    <text>These check the current data against the one 2 above it</text>
  </threadedComment>
  <threadedComment ref="E26" dT="2026-04-26T04:10:35.22" personId="{C3D0740B-EB2E-473A-85AA-614A3ED4A7B2}" id="{9D7CE9D8-CC7E-4478-AF01-FB1882F25487}">
    <text>These check the current data against the one 2 above it</text>
  </threadedComment>
  <threadedComment ref="H26" dT="2026-04-26T04:10:35.22" personId="{C3D0740B-EB2E-473A-85AA-614A3ED4A7B2}" id="{EDB614E9-D2C7-4D40-A0CC-AB7D401A8F5D}">
    <text>These check the current data against the one 2 above it</text>
  </threadedComment>
  <threadedComment ref="K26" dT="2026-04-26T04:10:35.22" personId="{C3D0740B-EB2E-473A-85AA-614A3ED4A7B2}" id="{D6F8E1FE-EF93-42CD-BCF8-1089503ACEAF}">
    <text>These check the current data against the one 2 above it</text>
  </threadedComment>
  <threadedComment ref="N26" dT="2026-04-26T04:10:35.22" personId="{C3D0740B-EB2E-473A-85AA-614A3ED4A7B2}" id="{31E5E9D0-33AB-4F52-9869-EC2BB11D81A2}">
    <text>These check the current data against the one 2 above it</text>
  </threadedComment>
  <threadedComment ref="Q26" dT="2026-04-26T04:10:35.22" personId="{C3D0740B-EB2E-473A-85AA-614A3ED4A7B2}" id="{88BBCA65-2D44-4566-9122-CECE6877C21C}">
    <text>These check the current data against the one 2 above it</text>
  </threadedComment>
  <threadedComment ref="T26" dT="2026-04-26T04:10:35.22" personId="{C3D0740B-EB2E-473A-85AA-614A3ED4A7B2}" id="{61C7F657-3840-40A2-ADFE-760B83B92C3B}">
    <text>These check the current data against the one 2 above it</text>
  </threadedComment>
  <threadedComment ref="W26" dT="2026-04-26T04:10:35.22" personId="{C3D0740B-EB2E-473A-85AA-614A3ED4A7B2}" id="{1C3B8114-CF82-4055-BC45-CB56DF7AB3E4}">
    <text>These check the current data against the one 2 above it</text>
  </threadedComment>
  <threadedComment ref="Z26" dT="2026-04-26T04:10:35.22" personId="{C3D0740B-EB2E-473A-85AA-614A3ED4A7B2}" id="{88FFC5AC-2418-46DC-B0A6-ACE97C461434}">
    <text>These check the current data against the one 2 above it</text>
  </threadedComment>
  <threadedComment ref="AC26" dT="2026-04-26T04:10:35.22" personId="{C3D0740B-EB2E-473A-85AA-614A3ED4A7B2}" id="{5F79A635-503E-4D10-99CC-116A587326C5}">
    <text>These check the current data against the one 2 above it</text>
  </threadedComment>
  <threadedComment ref="AF26" dT="2026-04-26T04:10:35.22" personId="{C3D0740B-EB2E-473A-85AA-614A3ED4A7B2}" id="{B61F6A14-AC27-42CD-A436-709A3F40885E}">
    <text>These check the current data against the one 2 above it</text>
  </threadedComment>
  <threadedComment ref="B36" dT="2026-04-26T04:10:35.22" personId="{C3D0740B-EB2E-473A-85AA-614A3ED4A7B2}" id="{C92BCEFC-5B4B-4571-A176-B557C1A655EB}">
    <text>These check the current data against the one 3 above it</text>
  </threadedComment>
  <threadedComment ref="E36" dT="2026-04-26T04:10:35.22" personId="{C3D0740B-EB2E-473A-85AA-614A3ED4A7B2}" id="{DA54E34E-EF99-4E62-853F-C4611D79F106}">
    <text>These check the current data against the one 3 above it</text>
  </threadedComment>
  <threadedComment ref="H36" dT="2026-04-26T04:10:35.22" personId="{C3D0740B-EB2E-473A-85AA-614A3ED4A7B2}" id="{A5039438-4577-457B-9D9C-D5D207B1F472}">
    <text>These check the current data against the one 3 above it</text>
  </threadedComment>
  <threadedComment ref="K36" dT="2026-04-26T04:10:35.22" personId="{C3D0740B-EB2E-473A-85AA-614A3ED4A7B2}" id="{4D640802-126F-48B6-B0E1-5289654583CF}">
    <text>These check the current data against the one 3 above it</text>
  </threadedComment>
  <threadedComment ref="N36" dT="2026-04-26T04:10:35.22" personId="{C3D0740B-EB2E-473A-85AA-614A3ED4A7B2}" id="{E565F7FF-0039-49B2-B937-D3254CB9EAA3}">
    <text>These check the current data against the one 3 above it</text>
  </threadedComment>
  <threadedComment ref="Q36" dT="2026-04-26T04:10:35.22" personId="{C3D0740B-EB2E-473A-85AA-614A3ED4A7B2}" id="{E2E25597-56E6-4B7D-99B2-78A104FB3B41}">
    <text>These check the current data against the one 3 above it</text>
  </threadedComment>
  <threadedComment ref="T36" dT="2026-04-26T04:10:35.22" personId="{C3D0740B-EB2E-473A-85AA-614A3ED4A7B2}" id="{DB9EEBD0-28BD-4ABB-9E6A-F45B2EF4B777}">
    <text>These check the current data against the one 3 above it</text>
  </threadedComment>
  <threadedComment ref="W36" dT="2026-04-26T04:10:35.22" personId="{C3D0740B-EB2E-473A-85AA-614A3ED4A7B2}" id="{FC4D78FE-9A98-419D-845E-10D0B2992068}">
    <text>These check the current data against the one 3 above it</text>
  </threadedComment>
  <threadedComment ref="Z36" dT="2026-04-26T04:10:35.22" personId="{C3D0740B-EB2E-473A-85AA-614A3ED4A7B2}" id="{66F7E9CA-DB44-40A2-AD2A-F13EAE46A6EB}">
    <text>These check the current data against the one 3 above it</text>
  </threadedComment>
  <threadedComment ref="AC36" dT="2026-04-26T04:10:35.22" personId="{C3D0740B-EB2E-473A-85AA-614A3ED4A7B2}" id="{0FCF4EDD-6561-4764-A66D-48C8FD264495}">
    <text>These check the current data against the one 3 above it</text>
  </threadedComment>
  <threadedComment ref="AF36" dT="2026-04-26T04:10:35.22" personId="{C3D0740B-EB2E-473A-85AA-614A3ED4A7B2}" id="{4908634D-4876-4AB3-9345-6E7600B1E174}">
    <text>These check the current data against the one 3 above it</text>
  </threadedComment>
  <threadedComment ref="B46" dT="2026-04-26T04:10:35.22" personId="{C3D0740B-EB2E-473A-85AA-614A3ED4A7B2}" id="{74111D07-8BD1-435C-9C9B-67C8706BB453}">
    <text>These check the current data against the one 4 above it</text>
  </threadedComment>
  <threadedComment ref="E46" dT="2026-04-26T04:10:35.22" personId="{C3D0740B-EB2E-473A-85AA-614A3ED4A7B2}" id="{C6F75171-F78C-4D8A-9C5B-99267E4E8648}">
    <text>These check the current data against the one 4 above it</text>
  </threadedComment>
  <threadedComment ref="H46" dT="2026-04-26T04:10:35.22" personId="{C3D0740B-EB2E-473A-85AA-614A3ED4A7B2}" id="{CACD0CF4-8C7D-4B40-98ED-BB36A223C1C2}">
    <text>These check the current data against the one 4 above it</text>
  </threadedComment>
  <threadedComment ref="K46" dT="2026-04-26T04:10:35.22" personId="{C3D0740B-EB2E-473A-85AA-614A3ED4A7B2}" id="{5574D368-1E01-4C83-ABCA-F5F33A561CA0}">
    <text>These check the current data against the one 4 above it</text>
  </threadedComment>
  <threadedComment ref="N46" dT="2026-04-26T04:10:35.22" personId="{C3D0740B-EB2E-473A-85AA-614A3ED4A7B2}" id="{810F65B9-93EC-4436-828D-35309CBA66F3}">
    <text>These check the current data against the one 4 above it</text>
  </threadedComment>
  <threadedComment ref="Q46" dT="2026-04-26T04:10:35.22" personId="{C3D0740B-EB2E-473A-85AA-614A3ED4A7B2}" id="{22927DDE-33FD-4E11-B4EF-2C7A3541CD96}">
    <text>These check the current data against the one 4 above it</text>
  </threadedComment>
  <threadedComment ref="T46" dT="2026-04-26T04:10:35.22" personId="{C3D0740B-EB2E-473A-85AA-614A3ED4A7B2}" id="{254B3FD3-C875-4994-9D14-9F5DDF514E04}">
    <text>These check the current data against the one 4 above it</text>
  </threadedComment>
  <threadedComment ref="W46" dT="2026-04-26T04:10:35.22" personId="{C3D0740B-EB2E-473A-85AA-614A3ED4A7B2}" id="{5CD65AD0-C818-4111-9A31-096715E2845E}">
    <text>These check the current data against the one 4 above it</text>
  </threadedComment>
  <threadedComment ref="Z46" dT="2026-04-26T04:10:35.22" personId="{C3D0740B-EB2E-473A-85AA-614A3ED4A7B2}" id="{82A4E754-24D6-4FF5-8DFD-D5C44289A279}">
    <text>These check the current data against the one 4 above it</text>
  </threadedComment>
  <threadedComment ref="AC46" dT="2026-04-26T04:10:35.22" personId="{C3D0740B-EB2E-473A-85AA-614A3ED4A7B2}" id="{09CC351E-9F6A-4628-B172-633191B3EB15}">
    <text>These check the current data against the one 4 above it</text>
  </threadedComment>
  <threadedComment ref="AF46" dT="2026-04-26T04:10:35.22" personId="{C3D0740B-EB2E-473A-85AA-614A3ED4A7B2}" id="{8CFE0DF7-F87A-49FF-AF64-5CA8CCCE7EC7}">
    <text>These check the current data against the one 4 above it</text>
  </threadedComment>
  <threadedComment ref="B56" dT="2026-04-26T04:10:35.22" personId="{C3D0740B-EB2E-473A-85AA-614A3ED4A7B2}" id="{ACF475C4-885B-40E8-96EE-EA51A5BE3E16}">
    <text>These check the current data against the one 5 above it</text>
  </threadedComment>
  <threadedComment ref="E56" dT="2026-04-26T04:10:35.22" personId="{C3D0740B-EB2E-473A-85AA-614A3ED4A7B2}" id="{6454227B-96CF-44E3-8C8E-11751D9BBD40}">
    <text>These check the current data against the one 5 above it</text>
  </threadedComment>
  <threadedComment ref="H56" dT="2026-04-26T04:10:35.22" personId="{C3D0740B-EB2E-473A-85AA-614A3ED4A7B2}" id="{099CDC44-7565-4D73-8BA0-4D767122C9D4}">
    <text>These check the current data against the one 5 above it</text>
  </threadedComment>
  <threadedComment ref="K56" dT="2026-04-26T04:10:35.22" personId="{C3D0740B-EB2E-473A-85AA-614A3ED4A7B2}" id="{18072CB3-65B0-4BF9-B3CB-231956BCCB4E}">
    <text>These check the current data against the one 5 above it</text>
  </threadedComment>
  <threadedComment ref="N56" dT="2026-04-26T04:10:35.22" personId="{C3D0740B-EB2E-473A-85AA-614A3ED4A7B2}" id="{FD4BDE53-7366-4924-ACA2-26FF042ECD54}">
    <text>These check the current data against the one 5 above it</text>
  </threadedComment>
  <threadedComment ref="Q56" dT="2026-04-26T04:10:35.22" personId="{C3D0740B-EB2E-473A-85AA-614A3ED4A7B2}" id="{4499345A-C4E1-4A10-A8CD-CE7A64B941D8}">
    <text>These check the current data against the one 5 above it</text>
  </threadedComment>
  <threadedComment ref="T56" dT="2026-04-26T04:10:35.22" personId="{C3D0740B-EB2E-473A-85AA-614A3ED4A7B2}" id="{8EC7DCAA-43F6-451C-8244-8C3DEE42D8EB}">
    <text>These check the current data against the one 5 above it</text>
  </threadedComment>
  <threadedComment ref="W56" dT="2026-04-26T04:10:35.22" personId="{C3D0740B-EB2E-473A-85AA-614A3ED4A7B2}" id="{EBDDD994-EA33-4DDB-A2AE-53528CD2FE47}">
    <text>These check the current data against the one 5 above it</text>
  </threadedComment>
  <threadedComment ref="Z56" dT="2026-04-26T04:10:35.22" personId="{C3D0740B-EB2E-473A-85AA-614A3ED4A7B2}" id="{B240B4C5-D387-409D-BFCA-443A2252B278}">
    <text>These check the current data against the one 5 above it</text>
  </threadedComment>
  <threadedComment ref="AC56" dT="2026-04-26T04:10:35.22" personId="{C3D0740B-EB2E-473A-85AA-614A3ED4A7B2}" id="{A324D2F5-4612-4BCF-B25D-6BD773EACFA9}">
    <text>These check the current data against the one 5 above it</text>
  </threadedComment>
  <threadedComment ref="AF56" dT="2026-04-26T04:10:35.22" personId="{C3D0740B-EB2E-473A-85AA-614A3ED4A7B2}" id="{AAFC962C-4144-4E84-96B3-4C94F29F8F6E}">
    <text>These check the current data against the one 5 above 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F3A2-31F3-4874-995B-BE6120133D01}">
  <sheetPr>
    <tabColor rgb="FF00B050"/>
  </sheetPr>
  <dimension ref="A1:AH94"/>
  <sheetViews>
    <sheetView tabSelected="1" zoomScale="99" zoomScaleNormal="99" workbookViewId="0">
      <pane ySplit="1" topLeftCell="A2" activePane="bottomLeft" state="frozen"/>
      <selection pane="bottomLeft" activeCell="O33" sqref="O33"/>
    </sheetView>
  </sheetViews>
  <sheetFormatPr defaultRowHeight="14.5" x14ac:dyDescent="0.35"/>
  <cols>
    <col min="1" max="1" width="11.81640625" style="1" bestFit="1" customWidth="1"/>
    <col min="2" max="2" width="11.81640625" bestFit="1" customWidth="1"/>
    <col min="4" max="4" width="9.1796875" style="1"/>
    <col min="7" max="7" width="9.1796875" style="1"/>
    <col min="10" max="10" width="9.1796875" style="1"/>
    <col min="13" max="13" width="8.54296875" style="1" customWidth="1"/>
    <col min="16" max="16" width="9.1796875" style="1"/>
    <col min="19" max="19" width="9.1796875" style="1"/>
    <col min="22" max="22" width="9.1796875" style="1"/>
    <col min="25" max="25" width="9.1796875" style="1"/>
    <col min="28" max="28" width="9.1796875" style="1"/>
    <col min="31" max="31" width="9.1796875" style="1"/>
  </cols>
  <sheetData>
    <row r="1" spans="1:33" x14ac:dyDescent="0.35">
      <c r="A1" s="1" t="s">
        <v>0</v>
      </c>
      <c r="D1" s="1" t="s">
        <v>6</v>
      </c>
      <c r="G1" s="1" t="s">
        <v>7</v>
      </c>
      <c r="J1" s="1" t="s">
        <v>8</v>
      </c>
      <c r="M1" s="1" t="s">
        <v>9</v>
      </c>
      <c r="P1" s="1" t="s">
        <v>10</v>
      </c>
      <c r="S1" s="1" t="s">
        <v>11</v>
      </c>
      <c r="V1" s="1" t="s">
        <v>12</v>
      </c>
      <c r="Y1" s="1" t="s">
        <v>13</v>
      </c>
      <c r="AB1" s="1" t="s">
        <v>14</v>
      </c>
      <c r="AE1" s="1" t="s">
        <v>15</v>
      </c>
    </row>
    <row r="2" spans="1:33" x14ac:dyDescent="0.35">
      <c r="A2" s="1">
        <v>16.41791439</v>
      </c>
      <c r="B2">
        <f>A2+A6</f>
        <v>16.42916860139</v>
      </c>
      <c r="C2">
        <f>A2-A6</f>
        <v>16.40666017861</v>
      </c>
      <c r="D2" s="1">
        <v>15.598167180000001</v>
      </c>
      <c r="E2">
        <f>D2+D6</f>
        <v>15.736012579300001</v>
      </c>
      <c r="F2">
        <f>D2-D6</f>
        <v>15.460321780700001</v>
      </c>
      <c r="G2" s="1">
        <v>15.89967656</v>
      </c>
      <c r="H2">
        <f>G2+G6</f>
        <v>15.9202076525</v>
      </c>
      <c r="I2">
        <f>G2-G6</f>
        <v>15.879145467499999</v>
      </c>
      <c r="J2" s="1">
        <v>15.87040406</v>
      </c>
      <c r="K2">
        <f>J2+J6</f>
        <v>15.90421000021</v>
      </c>
      <c r="L2">
        <f>J2-J6</f>
        <v>15.836598119790001</v>
      </c>
      <c r="M2" s="1">
        <v>15.55237329</v>
      </c>
      <c r="N2">
        <f>M2+M6</f>
        <v>15.61810586132</v>
      </c>
      <c r="O2">
        <f>M2-M6</f>
        <v>15.48664071868</v>
      </c>
      <c r="P2" s="1">
        <v>15.59310773</v>
      </c>
      <c r="Q2">
        <f>P2+P6</f>
        <v>15.63006865336</v>
      </c>
      <c r="R2">
        <f>P2-P6</f>
        <v>15.556146806639999</v>
      </c>
      <c r="S2" s="1">
        <v>16.109231350000002</v>
      </c>
      <c r="T2">
        <f>S2+S6</f>
        <v>16.13097576166</v>
      </c>
      <c r="U2">
        <f>S2-S6</f>
        <v>16.087486938340003</v>
      </c>
      <c r="V2" s="1">
        <v>15.423292160000001</v>
      </c>
      <c r="W2">
        <f>V2+V6</f>
        <v>15.47905865587</v>
      </c>
      <c r="X2">
        <f>V2-V6</f>
        <v>15.367525664130001</v>
      </c>
      <c r="Y2" s="1">
        <v>14.78910851</v>
      </c>
      <c r="Z2">
        <f>Y2+Y6</f>
        <v>14.847191329679999</v>
      </c>
      <c r="AA2">
        <f>Y2-Y6</f>
        <v>14.731025690320001</v>
      </c>
      <c r="AB2" s="1">
        <v>14.955488089999999</v>
      </c>
      <c r="AC2">
        <f>AB2+AB6</f>
        <v>15.055767727799999</v>
      </c>
      <c r="AD2">
        <f>AB2-AB6</f>
        <v>14.855208452199999</v>
      </c>
      <c r="AE2" s="1">
        <v>15.153644440000001</v>
      </c>
      <c r="AF2">
        <f>AE2+AE6</f>
        <v>15.4204244463</v>
      </c>
      <c r="AG2">
        <f>AE2-AE6</f>
        <v>14.886864433700001</v>
      </c>
    </row>
    <row r="3" spans="1:33" x14ac:dyDescent="0.35">
      <c r="A3" s="1">
        <v>3.9399569030000001</v>
      </c>
      <c r="B3">
        <f>A3+A7</f>
        <v>4.02325339164</v>
      </c>
      <c r="C3">
        <f>A3-A7</f>
        <v>3.8566604143600003</v>
      </c>
      <c r="D3" s="1">
        <v>3.4592315550000001</v>
      </c>
      <c r="E3">
        <f>D3+D7</f>
        <v>3.6851875692</v>
      </c>
      <c r="F3">
        <f>D3-D7</f>
        <v>3.2332755408000002</v>
      </c>
      <c r="G3" s="1">
        <v>4.1967743659999996</v>
      </c>
      <c r="H3">
        <f>G3+G7</f>
        <v>4.3515279529999997</v>
      </c>
      <c r="I3">
        <f>G3-G7</f>
        <v>4.0420207789999996</v>
      </c>
      <c r="J3" s="1">
        <v>4.219640493</v>
      </c>
      <c r="K3">
        <f>J3+J7</f>
        <v>4.3479515414999996</v>
      </c>
      <c r="L3">
        <f>J3-J7</f>
        <v>4.0913294445000004</v>
      </c>
      <c r="M3" s="1">
        <v>3.0232448729999999</v>
      </c>
      <c r="N3">
        <f>M3+M7</f>
        <v>3.3517023851999999</v>
      </c>
      <c r="O3">
        <f>M3-M7</f>
        <v>2.6947873607999999</v>
      </c>
      <c r="P3" s="1">
        <v>4.3702547550000004</v>
      </c>
      <c r="Q3">
        <f>P3+P7</f>
        <v>4.5014913048</v>
      </c>
      <c r="R3">
        <f>P3-P7</f>
        <v>4.2390182052000007</v>
      </c>
      <c r="S3" s="1">
        <v>3.9252751469999998</v>
      </c>
      <c r="T3">
        <f>S3+S7</f>
        <v>4.0371225391999994</v>
      </c>
      <c r="U3">
        <f>S3-S7</f>
        <v>3.8134277547999997</v>
      </c>
      <c r="V3" s="1">
        <v>4.3779205980000002</v>
      </c>
      <c r="W3">
        <f>V3+V7</f>
        <v>4.7868667145000003</v>
      </c>
      <c r="X3">
        <f>V3-V7</f>
        <v>3.9689744815000001</v>
      </c>
      <c r="Y3" s="1">
        <v>4.0415143220000003</v>
      </c>
      <c r="Z3">
        <f>Y3+Y7</f>
        <v>4.4185737466999999</v>
      </c>
      <c r="AA3">
        <f>Y3-Y7</f>
        <v>3.6644548973000002</v>
      </c>
      <c r="AB3" s="1">
        <v>4.4582474830000001</v>
      </c>
      <c r="AC3">
        <f>AB3+AB7</f>
        <v>4.7759608674000003</v>
      </c>
      <c r="AD3">
        <f>AB3-AB7</f>
        <v>4.1405340985999999</v>
      </c>
      <c r="AE3" s="1">
        <v>5.2575609679999999</v>
      </c>
      <c r="AF3">
        <f>AE3+AE7</f>
        <v>6.0578615757999996</v>
      </c>
      <c r="AG3">
        <f>AE3-AE7</f>
        <v>4.4572603602000003</v>
      </c>
    </row>
    <row r="4" spans="1:33" x14ac:dyDescent="0.35">
      <c r="A4" s="1">
        <v>2.6820483949999998</v>
      </c>
      <c r="B4">
        <f>A4+A8</f>
        <v>2.7296692026299998</v>
      </c>
      <c r="C4">
        <f>A4-A8</f>
        <v>2.6344275873699998</v>
      </c>
      <c r="D4" s="1">
        <v>2.572819162</v>
      </c>
      <c r="E4">
        <f>D4+D8</f>
        <v>3.0222699370999999</v>
      </c>
      <c r="F4">
        <f>D4-D8</f>
        <v>2.1233683869000002</v>
      </c>
      <c r="G4" s="1">
        <v>1.111216735</v>
      </c>
      <c r="H4">
        <f>G4+G8</f>
        <v>1.1538638080899999</v>
      </c>
      <c r="I4">
        <f>G4-G8</f>
        <v>1.06856966191</v>
      </c>
      <c r="J4" s="1">
        <v>2.0822677180000002</v>
      </c>
      <c r="K4">
        <f>J4+J8</f>
        <v>2.1998145574000003</v>
      </c>
      <c r="L4">
        <f>J4-J8</f>
        <v>1.9647208786000001</v>
      </c>
      <c r="M4" s="1">
        <v>1.9868385529999999</v>
      </c>
      <c r="N4">
        <f>M4+M8</f>
        <v>2.4175550045</v>
      </c>
      <c r="O4">
        <f>M4-M8</f>
        <v>1.5561221015</v>
      </c>
      <c r="P4" s="1">
        <v>2.4855525460000001</v>
      </c>
      <c r="Q4">
        <f>P4+P8</f>
        <v>2.6153167020999999</v>
      </c>
      <c r="R4">
        <f>P4-P8</f>
        <v>2.3557883899000003</v>
      </c>
      <c r="S4" s="1">
        <v>2.0079921299999999</v>
      </c>
      <c r="T4">
        <f>S4+S8</f>
        <v>2.0873646701699999</v>
      </c>
      <c r="U4">
        <f>S4-S8</f>
        <v>1.9286195898299998</v>
      </c>
      <c r="V4" s="1">
        <v>1.436453886</v>
      </c>
      <c r="W4">
        <f>V4+V8</f>
        <v>1.5737385615999999</v>
      </c>
      <c r="X4">
        <f>V4-V8</f>
        <v>1.2991692104000001</v>
      </c>
      <c r="Y4" s="1">
        <v>1.9309239979999999</v>
      </c>
      <c r="Z4">
        <f>Y4+Y8</f>
        <v>2.1787381023000001</v>
      </c>
      <c r="AA4">
        <f>Y4-Y8</f>
        <v>1.6831098937</v>
      </c>
      <c r="AB4" s="1">
        <v>3.2146858389999999</v>
      </c>
      <c r="AC4">
        <f>AB4+AB8</f>
        <v>3.8462807923</v>
      </c>
      <c r="AD4">
        <f>AB4-AB8</f>
        <v>2.5830908856999999</v>
      </c>
      <c r="AE4" s="1">
        <v>1.7612895150000001</v>
      </c>
      <c r="AF4">
        <f>AE4+AE8</f>
        <v>2.0867092578999999</v>
      </c>
      <c r="AG4">
        <f>AE4-AE8</f>
        <v>1.4358697721000002</v>
      </c>
    </row>
    <row r="5" spans="1:33" x14ac:dyDescent="0.35">
      <c r="A5" s="1">
        <v>1.9297304150000001</v>
      </c>
      <c r="B5">
        <f>A5+A9</f>
        <v>1.9628111908200001</v>
      </c>
      <c r="C5">
        <f>A5-A9</f>
        <v>1.8966496391800001</v>
      </c>
      <c r="D5" s="1">
        <v>1.856207132</v>
      </c>
      <c r="E5">
        <f>D5+D9</f>
        <v>1.9516958639099999</v>
      </c>
      <c r="F5">
        <f>D5-D9</f>
        <v>1.76071840009</v>
      </c>
      <c r="G5" s="1">
        <v>1.9532965419999999</v>
      </c>
      <c r="H5">
        <f>G5+G9</f>
        <v>2.04315591151</v>
      </c>
      <c r="I5">
        <f>G5-G9</f>
        <v>1.8634371724899998</v>
      </c>
      <c r="J5" s="1">
        <v>1.913577437</v>
      </c>
      <c r="K5">
        <f>J5+J9</f>
        <v>1.96351682874</v>
      </c>
      <c r="L5">
        <f>J5-J9</f>
        <v>1.8636380452600001</v>
      </c>
      <c r="M5" s="1">
        <v>2.0015873910000002</v>
      </c>
      <c r="N5">
        <f>M5+M9</f>
        <v>2.1150274829</v>
      </c>
      <c r="O5">
        <f>M5-M9</f>
        <v>1.8881472991000001</v>
      </c>
      <c r="P5" s="1">
        <v>2.0603438619999999</v>
      </c>
      <c r="Q5">
        <f>P5+P9</f>
        <v>2.1177729490899999</v>
      </c>
      <c r="R5">
        <f>P5-P9</f>
        <v>2.0029147749099998</v>
      </c>
      <c r="S5" s="1">
        <v>1.649139404</v>
      </c>
      <c r="T5">
        <f>S5+S9</f>
        <v>1.7005618304700001</v>
      </c>
      <c r="U5">
        <f>S5-S9</f>
        <v>1.59771697753</v>
      </c>
      <c r="V5" s="1">
        <v>1.978537083</v>
      </c>
      <c r="W5">
        <f>V5+V9</f>
        <v>2.1483177804999998</v>
      </c>
      <c r="X5">
        <f>V5-V9</f>
        <v>1.8087563855</v>
      </c>
      <c r="Y5" s="1">
        <v>1.764554411</v>
      </c>
      <c r="Z5">
        <f>Y5+Y9</f>
        <v>1.9216109537999999</v>
      </c>
      <c r="AA5">
        <f>Y5-Y9</f>
        <v>1.6074978682000001</v>
      </c>
      <c r="AB5" s="1">
        <v>1.7165468340000001</v>
      </c>
      <c r="AC5">
        <f>AB5+AB9</f>
        <v>1.8876331972</v>
      </c>
      <c r="AD5">
        <f>AB5-AB9</f>
        <v>1.5454604708000002</v>
      </c>
      <c r="AE5" s="1">
        <v>1.517354965</v>
      </c>
      <c r="AF5">
        <f>AE5+AE9</f>
        <v>1.9200063498</v>
      </c>
      <c r="AG5">
        <f>AE5-AE9</f>
        <v>1.1147035802</v>
      </c>
    </row>
    <row r="6" spans="1:33" x14ac:dyDescent="0.35">
      <c r="A6" s="1">
        <v>1.1254211389999999E-2</v>
      </c>
      <c r="D6" s="1">
        <v>0.1378453993</v>
      </c>
      <c r="G6" s="1">
        <v>2.0531092500000001E-2</v>
      </c>
      <c r="J6" s="1">
        <v>3.3805940210000003E-2</v>
      </c>
      <c r="M6" s="1">
        <v>6.5732571320000002E-2</v>
      </c>
      <c r="P6" s="1">
        <v>3.6960923360000002E-2</v>
      </c>
      <c r="S6" s="1">
        <v>2.1744411660000001E-2</v>
      </c>
      <c r="V6" s="1">
        <v>5.5766495870000002E-2</v>
      </c>
      <c r="Y6" s="1">
        <v>5.8082819680000002E-2</v>
      </c>
      <c r="AB6" s="1">
        <v>0.1002796378</v>
      </c>
      <c r="AE6" s="1">
        <v>0.26678000629999998</v>
      </c>
    </row>
    <row r="7" spans="1:33" x14ac:dyDescent="0.35">
      <c r="A7" s="1">
        <v>8.3296488639999999E-2</v>
      </c>
      <c r="D7" s="1">
        <v>0.2259560142</v>
      </c>
      <c r="G7" s="1">
        <v>0.154753587</v>
      </c>
      <c r="J7" s="1">
        <v>0.1283110485</v>
      </c>
      <c r="M7" s="1">
        <v>0.32845751220000002</v>
      </c>
      <c r="P7" s="1">
        <v>0.13123654979999999</v>
      </c>
      <c r="S7" s="1">
        <v>0.11184739220000001</v>
      </c>
      <c r="V7" s="1">
        <v>0.40894611650000001</v>
      </c>
      <c r="Y7" s="1">
        <v>0.37705942469999998</v>
      </c>
      <c r="AB7" s="1">
        <v>0.31771338440000002</v>
      </c>
      <c r="AE7" s="1">
        <v>0.80030060780000001</v>
      </c>
    </row>
    <row r="8" spans="1:33" x14ac:dyDescent="0.35">
      <c r="A8" s="1">
        <v>4.7620807629999998E-2</v>
      </c>
      <c r="D8" s="1">
        <v>0.44945077509999998</v>
      </c>
      <c r="G8" s="1">
        <v>4.2647073090000001E-2</v>
      </c>
      <c r="J8" s="1">
        <v>0.11754683940000001</v>
      </c>
      <c r="M8" s="1">
        <v>0.43071645149999999</v>
      </c>
      <c r="P8" s="1">
        <v>0.1297641561</v>
      </c>
      <c r="S8" s="1">
        <v>7.9372540170000005E-2</v>
      </c>
      <c r="V8" s="1">
        <v>0.13728467559999999</v>
      </c>
      <c r="Y8" s="1">
        <v>0.2478141043</v>
      </c>
      <c r="AB8" s="1">
        <v>0.63159495330000004</v>
      </c>
      <c r="AE8" s="1">
        <v>0.32541974289999998</v>
      </c>
    </row>
    <row r="9" spans="1:33" x14ac:dyDescent="0.35">
      <c r="A9" s="1">
        <v>3.3080775819999998E-2</v>
      </c>
      <c r="D9" s="1">
        <v>9.5488731909999999E-2</v>
      </c>
      <c r="G9" s="1">
        <v>8.9859369509999995E-2</v>
      </c>
      <c r="J9" s="1">
        <v>4.9939391739999998E-2</v>
      </c>
      <c r="M9" s="1">
        <v>0.1134400919</v>
      </c>
      <c r="P9" s="1">
        <v>5.7429087089999997E-2</v>
      </c>
      <c r="S9" s="1">
        <v>5.1422426469999998E-2</v>
      </c>
      <c r="V9" s="1">
        <v>0.16978069749999999</v>
      </c>
      <c r="Y9" s="1">
        <v>0.1570565428</v>
      </c>
      <c r="AB9" s="1">
        <v>0.17108636320000001</v>
      </c>
      <c r="AE9" s="1">
        <v>0.40265138480000001</v>
      </c>
    </row>
    <row r="11" spans="1:33" x14ac:dyDescent="0.35">
      <c r="A11" s="1" t="s">
        <v>20</v>
      </c>
    </row>
    <row r="12" spans="1:33" x14ac:dyDescent="0.35">
      <c r="A12" s="1">
        <v>16.384701969999998</v>
      </c>
      <c r="B12">
        <f>A12+A16</f>
        <v>16.457064918929998</v>
      </c>
      <c r="C12">
        <f>A12-A16</f>
        <v>16.312339021069999</v>
      </c>
      <c r="D12" s="1">
        <v>15.44779584</v>
      </c>
      <c r="E12">
        <f>D12+D16</f>
        <v>15.932137471799999</v>
      </c>
      <c r="F12">
        <f>D12-D16</f>
        <v>14.9634542082</v>
      </c>
      <c r="G12" s="1">
        <v>15.90527868</v>
      </c>
      <c r="H12">
        <f>G12+G16</f>
        <v>15.99733588939</v>
      </c>
      <c r="I12">
        <f>G12-G16</f>
        <v>15.813221470610001</v>
      </c>
      <c r="J12" s="1">
        <v>15.87250504</v>
      </c>
      <c r="K12">
        <f>J12+J16</f>
        <v>16.020981039399999</v>
      </c>
      <c r="L12">
        <f>J12-J16</f>
        <v>15.7240290406</v>
      </c>
      <c r="M12" s="1">
        <v>15.811762359999999</v>
      </c>
      <c r="N12">
        <f>M12+M16</f>
        <v>16.295783378099998</v>
      </c>
      <c r="O12">
        <f>M12-M16</f>
        <v>15.327741341899999</v>
      </c>
      <c r="P12" s="1">
        <v>15.725655079999999</v>
      </c>
      <c r="Q12">
        <f>P12+P16</f>
        <v>15.8940499977</v>
      </c>
      <c r="R12">
        <f>P12-P16</f>
        <v>15.557260162299999</v>
      </c>
      <c r="S12" s="1">
        <v>16.08388673</v>
      </c>
      <c r="T12">
        <f>S12+S16</f>
        <v>16.17918764229</v>
      </c>
      <c r="U12">
        <f>S12-S16</f>
        <v>15.98858581771</v>
      </c>
      <c r="V12" s="1">
        <v>14.82548141</v>
      </c>
      <c r="W12">
        <f>V12+V16</f>
        <v>15.078416453799999</v>
      </c>
      <c r="X12">
        <f>V12-V16</f>
        <v>14.572546366200001</v>
      </c>
      <c r="Y12" s="1">
        <v>14.77973706</v>
      </c>
      <c r="Z12">
        <f>Y12+Y16</f>
        <v>15.0378202207</v>
      </c>
      <c r="AA12">
        <f>Y12-Y16</f>
        <v>14.5216538993</v>
      </c>
      <c r="AB12" s="1">
        <v>15.01406646</v>
      </c>
      <c r="AC12">
        <f>AB12+AB16</f>
        <v>15.405960095600001</v>
      </c>
      <c r="AD12">
        <f>AB12-AB16</f>
        <v>14.6221728244</v>
      </c>
      <c r="AE12" s="1">
        <v>16.009737009999998</v>
      </c>
      <c r="AF12">
        <f>AE12+AE16</f>
        <v>16.797180707599999</v>
      </c>
      <c r="AG12">
        <f>AE12-AE16</f>
        <v>15.222293312399998</v>
      </c>
    </row>
    <row r="13" spans="1:33" x14ac:dyDescent="0.35">
      <c r="A13" s="1">
        <v>4.4628082510000002</v>
      </c>
      <c r="B13">
        <f>A13+A17</f>
        <v>5.2234888442000003</v>
      </c>
      <c r="C13">
        <f>A13-A17</f>
        <v>3.7021276578000002</v>
      </c>
      <c r="D13" s="1">
        <v>3.7041255240000002</v>
      </c>
      <c r="E13">
        <f>D13+D17</f>
        <v>4.7558695320000002</v>
      </c>
      <c r="F13">
        <f>D13-D17</f>
        <v>2.6523815160000002</v>
      </c>
      <c r="G13" s="1">
        <v>4.3461227490000001</v>
      </c>
      <c r="H13">
        <f>G13+G17</f>
        <v>5.0987666065999999</v>
      </c>
      <c r="I13">
        <f>G13-G17</f>
        <v>3.5934788914000002</v>
      </c>
      <c r="J13" s="1">
        <v>4.2255870099999999</v>
      </c>
      <c r="K13">
        <f>J13+J17</f>
        <v>4.8455907167000003</v>
      </c>
      <c r="L13">
        <f>J13-J17</f>
        <v>3.6055833033</v>
      </c>
      <c r="M13" s="1">
        <v>4.3517012599999996</v>
      </c>
      <c r="N13">
        <f>M13+M17</f>
        <v>6.3978080819999992</v>
      </c>
      <c r="O13">
        <f>M13-M17</f>
        <v>2.3055944379999995</v>
      </c>
      <c r="P13" s="1">
        <v>4.3798934220000003</v>
      </c>
      <c r="Q13">
        <f>P13+P17</f>
        <v>4.8985429074000004</v>
      </c>
      <c r="R13">
        <f>P13-P17</f>
        <v>3.8612439366000002</v>
      </c>
      <c r="S13" s="1">
        <v>3.9590233559999999</v>
      </c>
      <c r="T13">
        <f>S13+S17</f>
        <v>4.4868348407000003</v>
      </c>
      <c r="U13">
        <f>S13-S17</f>
        <v>3.4312118712999999</v>
      </c>
      <c r="V13" s="1">
        <v>4.2030391690000002</v>
      </c>
      <c r="W13">
        <f>V13+V17</f>
        <v>5.6487756249999999</v>
      </c>
      <c r="X13">
        <f>V13-V17</f>
        <v>2.7573027130000005</v>
      </c>
      <c r="Y13" s="1">
        <v>4.391984463</v>
      </c>
      <c r="Z13">
        <f>Y13+Y17</f>
        <v>6.4622590579999999</v>
      </c>
      <c r="AA13">
        <f>Y13-Y17</f>
        <v>2.3217098680000001</v>
      </c>
      <c r="AB13" s="1">
        <v>5.3167644139999997</v>
      </c>
      <c r="AC13">
        <f>AB13+AB17</f>
        <v>6.8694385759999994</v>
      </c>
      <c r="AD13">
        <f>AB13-AB17</f>
        <v>3.7640902519999999</v>
      </c>
      <c r="AE13" s="1">
        <v>20</v>
      </c>
      <c r="AF13">
        <f>AE13+AE17</f>
        <v>39.251455640000003</v>
      </c>
      <c r="AG13">
        <f>AE13-AE17</f>
        <v>0.74854436000000035</v>
      </c>
    </row>
    <row r="14" spans="1:33" x14ac:dyDescent="0.35">
      <c r="A14" s="1">
        <v>3.0820420569999998</v>
      </c>
      <c r="B14">
        <f>A14+A18</f>
        <v>3.3956465463999996</v>
      </c>
      <c r="C14">
        <f>A14-A18</f>
        <v>2.7684375675999999</v>
      </c>
      <c r="D14" s="1">
        <v>2.121444061</v>
      </c>
      <c r="E14">
        <f>D14+D18</f>
        <v>3.485810957</v>
      </c>
      <c r="F14">
        <f>D14-D18</f>
        <v>0.75707716500000011</v>
      </c>
      <c r="G14" s="1">
        <v>1.1620325600000001</v>
      </c>
      <c r="H14">
        <f>G14+G18</f>
        <v>1.3705176877</v>
      </c>
      <c r="I14">
        <f>G14-G18</f>
        <v>0.95354743230000016</v>
      </c>
      <c r="J14" s="1">
        <v>2.1306081560000001</v>
      </c>
      <c r="K14">
        <f>J14+J18</f>
        <v>2.651014805</v>
      </c>
      <c r="L14">
        <f>J14-J18</f>
        <v>1.6102015070000002</v>
      </c>
      <c r="M14" s="1">
        <v>3.2132536470000002</v>
      </c>
      <c r="N14">
        <f>M14+M18</f>
        <v>5.9835897110000005</v>
      </c>
      <c r="O14">
        <f>M14-M18</f>
        <v>0.44291758300000028</v>
      </c>
      <c r="P14" s="1">
        <v>3.04005795</v>
      </c>
      <c r="Q14">
        <f>P14+P18</f>
        <v>3.7902675839</v>
      </c>
      <c r="R14">
        <f>P14-P18</f>
        <v>2.2898483161000001</v>
      </c>
      <c r="S14" s="1">
        <v>1.915340252</v>
      </c>
      <c r="T14">
        <f>S14+S18</f>
        <v>2.2430649169999999</v>
      </c>
      <c r="U14">
        <f>S14-S18</f>
        <v>1.5876155869999999</v>
      </c>
      <c r="V14" s="1">
        <v>0.48830340900000002</v>
      </c>
      <c r="W14">
        <f>V14+V18</f>
        <v>0.68980720430000009</v>
      </c>
      <c r="X14">
        <f>V14-V18</f>
        <v>0.28679961370000001</v>
      </c>
      <c r="Y14" s="1">
        <v>1.760623008</v>
      </c>
      <c r="Z14">
        <f>Y14+Y18</f>
        <v>2.7205243459999999</v>
      </c>
      <c r="AA14">
        <f>Y14-Y18</f>
        <v>0.80072167000000005</v>
      </c>
      <c r="AB14" s="1">
        <v>3.2533551599999999</v>
      </c>
      <c r="AC14">
        <f>AB14+AB18</f>
        <v>5.7100751249999995</v>
      </c>
      <c r="AD14">
        <f>AB14-AB18</f>
        <v>0.79663519499999991</v>
      </c>
      <c r="AE14" s="1">
        <v>2.5712204719999998</v>
      </c>
      <c r="AF14">
        <f>AE14+AE18</f>
        <v>4.4343512440000001</v>
      </c>
      <c r="AG14">
        <f>AE14-AE18</f>
        <v>0.70808969999999971</v>
      </c>
    </row>
    <row r="15" spans="1:33" x14ac:dyDescent="0.35">
      <c r="A15" s="1">
        <v>1.973972566</v>
      </c>
      <c r="B15">
        <f>A15+A19</f>
        <v>2.1866131303</v>
      </c>
      <c r="C15">
        <f>A15-A19</f>
        <v>1.7613320017</v>
      </c>
      <c r="D15" s="1">
        <v>1.8112621339999999</v>
      </c>
      <c r="E15">
        <f>D15+D19</f>
        <v>2.285777065</v>
      </c>
      <c r="F15">
        <f>D15-D19</f>
        <v>1.3367472029999998</v>
      </c>
      <c r="G15" s="1">
        <v>1.944747448</v>
      </c>
      <c r="H15">
        <f>G15+G19</f>
        <v>2.3883329486</v>
      </c>
      <c r="I15">
        <f>G15-G19</f>
        <v>1.5011619474</v>
      </c>
      <c r="J15" s="1">
        <v>1.9133329990000001</v>
      </c>
      <c r="K15">
        <f>J15+J19</f>
        <v>2.1492655105000003</v>
      </c>
      <c r="L15">
        <f>J15-J19</f>
        <v>1.6774004875000001</v>
      </c>
      <c r="M15" s="1">
        <v>2.2842179539999998</v>
      </c>
      <c r="N15">
        <f>M15+M19</f>
        <v>3.0692606312999997</v>
      </c>
      <c r="O15">
        <f>M15-M19</f>
        <v>1.4991752766999999</v>
      </c>
      <c r="P15" s="1">
        <v>2.0209616420000001</v>
      </c>
      <c r="Q15">
        <f>P15+P19</f>
        <v>2.2889802067000002</v>
      </c>
      <c r="R15">
        <f>P15-P19</f>
        <v>1.7529430773000001</v>
      </c>
      <c r="S15" s="1">
        <v>1.638034813</v>
      </c>
      <c r="T15">
        <f>S15+S19</f>
        <v>1.8823173806</v>
      </c>
      <c r="U15">
        <f>S15-S19</f>
        <v>1.3937522454</v>
      </c>
      <c r="V15" s="1">
        <v>1.6824624539999999</v>
      </c>
      <c r="W15">
        <f>V15+V19</f>
        <v>2.4885499536999998</v>
      </c>
      <c r="X15">
        <f>V15-V19</f>
        <v>0.8763749542999999</v>
      </c>
      <c r="Y15" s="1">
        <v>1.909644127</v>
      </c>
      <c r="Z15">
        <f>Y15+Y19</f>
        <v>2.6711603998999998</v>
      </c>
      <c r="AA15">
        <f>Y15-Y19</f>
        <v>1.1481278541</v>
      </c>
      <c r="AB15" s="1">
        <v>1.713318825</v>
      </c>
      <c r="AC15">
        <f>AB15+AB19</f>
        <v>2.5241502336999999</v>
      </c>
      <c r="AD15">
        <f>AB15-AB19</f>
        <v>0.90248741629999996</v>
      </c>
      <c r="AE15" s="1">
        <v>3.2198104860000001</v>
      </c>
      <c r="AF15">
        <f>AE15+AE19</f>
        <v>12.599812388</v>
      </c>
      <c r="AG15">
        <f>AE15-AE19</f>
        <v>-6.160191416</v>
      </c>
    </row>
    <row r="16" spans="1:33" x14ac:dyDescent="0.35">
      <c r="A16" s="1">
        <v>7.2362948930000004E-2</v>
      </c>
      <c r="B16" t="str">
        <f>IF(AND(B12&lt;=B2,B12&gt;=C2),"CASE 2",IF(AND(C12&lt;=B2,C12&gt;=C2),"CASE 1",IF(AND(B12&gt;=B2,C12&lt;=C2),"CASE 3",IF(AND(B12&lt;=B2,C12&gt;=C2),"CASE 4",FALSE()))))</f>
        <v>CASE 3</v>
      </c>
      <c r="C16">
        <f>ABS(A12-A$2)</f>
        <v>3.3212420000001686E-2</v>
      </c>
      <c r="D16" s="1">
        <v>0.48434163180000001</v>
      </c>
      <c r="E16" t="str">
        <f>IF(AND(E12&lt;=E2,E12&gt;=F2),"CASE 2",IF(AND(F12&lt;=E2,F12&gt;=F2),"CASE 1",IF(AND(E12&gt;=E2,F12&lt;=F2),"CASE 3",IF(AND(E12&lt;=E2,F12&gt;=F2),"CASE 4",FALSE()))))</f>
        <v>CASE 3</v>
      </c>
      <c r="F16">
        <f>ABS(D12-D$2)</f>
        <v>0.1503713400000013</v>
      </c>
      <c r="G16" s="1">
        <v>9.2057209390000005E-2</v>
      </c>
      <c r="H16" t="str">
        <f>IF(AND(H12&lt;=H2,H12&gt;=I2),"CASE 2",IF(AND(I12&lt;=H2,I12&gt;=I2),"CASE 1",IF(AND(H12&gt;=H2,I12&lt;=I2),"CASE 3",IF(AND(H12&lt;=H2,I12&gt;=I2),"CASE 4",FALSE()))))</f>
        <v>CASE 3</v>
      </c>
      <c r="I16">
        <f>ABS(G12-G$2)</f>
        <v>5.6021200000007099E-3</v>
      </c>
      <c r="J16" s="1">
        <v>0.1484759994</v>
      </c>
      <c r="K16" t="str">
        <f>IF(AND(K12&lt;=K2,K12&gt;=L2),"CASE 2",IF(AND(L12&lt;=K2,L12&gt;=L2),"CASE 1",IF(AND(K12&gt;=K2,L12&lt;=L2),"CASE 3",IF(AND(K12&lt;=K2,L12&gt;=L2),"CASE 4",FALSE()))))</f>
        <v>CASE 3</v>
      </c>
      <c r="L16">
        <f>ABS(J12-J$2)</f>
        <v>2.100979999999808E-3</v>
      </c>
      <c r="M16" s="1">
        <v>0.48402101809999998</v>
      </c>
      <c r="N16" t="str">
        <f>IF(AND(N12&lt;=N2,N12&gt;=O2),"CASE 2",IF(AND(O12&lt;=N2,O12&gt;=O2),"CASE 1",IF(AND(N12&gt;=N2,O12&lt;=O2),"CASE 3",IF(AND(N12&lt;=N2,O12&gt;=O2),"CASE 4",FALSE()))))</f>
        <v>CASE 3</v>
      </c>
      <c r="O16">
        <f>ABS(M12-M$2)</f>
        <v>0.25938906999999922</v>
      </c>
      <c r="P16" s="1">
        <v>0.16839491770000001</v>
      </c>
      <c r="Q16" t="str">
        <f>IF(AND(Q12&lt;=Q2,Q12&gt;=R2),"CASE 2",IF(AND(R12&lt;=Q2,R12&gt;=R2),"CASE 1",IF(AND(Q12&gt;=Q2,R12&lt;=R2),"CASE 3",IF(AND(Q12&lt;=Q2,R12&gt;=R2),"CASE 4",FALSE()))))</f>
        <v>CASE 1</v>
      </c>
      <c r="R16">
        <f>ABS(P12-P$2)</f>
        <v>0.1325473499999994</v>
      </c>
      <c r="S16" s="1">
        <v>9.5300912289999998E-2</v>
      </c>
      <c r="T16" t="str">
        <f>IF(AND(T12&lt;=T2,T12&gt;=U2),"CASE 2",IF(AND(U12&lt;=T2,U12&gt;=U2),"CASE 1",IF(AND(T12&gt;=T2,U12&lt;=U2),"CASE 3",IF(AND(T12&lt;=T2,U12&gt;=U2),"CASE 4",FALSE()))))</f>
        <v>CASE 3</v>
      </c>
      <c r="U16">
        <f>ABS(S12-S$2)</f>
        <v>2.5344620000002038E-2</v>
      </c>
      <c r="V16" s="1">
        <v>0.25293504379999998</v>
      </c>
      <c r="W16" t="b">
        <f>IF(AND(W12&lt;=W2,W12&gt;=X2),"CASE 2",IF(AND(X12&lt;=W2,X12&gt;=X2),"CASE 1",IF(AND(W12&gt;=W2,X12&lt;=X2),"CASE 3",IF(AND(W12&lt;=W2,X12&gt;=X2),"CASE 4",FALSE()))))</f>
        <v>0</v>
      </c>
      <c r="X16">
        <f>ABS(V12-V$2)</f>
        <v>0.59781075000000072</v>
      </c>
      <c r="Y16" s="1">
        <v>0.25808316069999998</v>
      </c>
      <c r="Z16" t="str">
        <f>IF(AND(Z12&lt;=Z2,Z12&gt;=AA2),"CASE 2",IF(AND(AA12&lt;=Z2,AA12&gt;=AA2),"CASE 1",IF(AND(Z12&gt;=Z2,AA12&lt;=AA2),"CASE 3",IF(AND(Z12&lt;=Z2,AA12&gt;=AA2),"CASE 4",FALSE()))))</f>
        <v>CASE 3</v>
      </c>
      <c r="AA16">
        <f>ABS(Y12-Y$2)</f>
        <v>9.3714499999997258E-3</v>
      </c>
      <c r="AB16" s="1">
        <v>0.39189363560000001</v>
      </c>
      <c r="AC16" t="str">
        <f>IF(AND(AC12&lt;=AC2,AC12&gt;=AD2),"CASE 2",IF(AND(AD12&lt;=AC2,AD12&gt;=AD2),"CASE 1",IF(AND(AC12&gt;=AC2,AD12&lt;=AD2),"CASE 3",IF(AND(AC12&lt;=AC2,AD12&gt;=AD2),"CASE 4",FALSE()))))</f>
        <v>CASE 3</v>
      </c>
      <c r="AD16">
        <f>ABS(AB12-AB$2)</f>
        <v>5.8578370000001101E-2</v>
      </c>
      <c r="AE16" s="1">
        <v>0.78744369759999999</v>
      </c>
      <c r="AF16" t="str">
        <f>IF(AND(AF12&lt;=AF2,AF12&gt;=AG2),"CASE 2",IF(AND(AG12&lt;=AF2,AG12&gt;=AG2),"CASE 1",IF(AND(AF12&gt;=AF2,AG12&lt;=AG2),"CASE 3",IF(AND(AF12&lt;=AF2,AG12&gt;=AG2),"CASE 4",FALSE()))))</f>
        <v>CASE 1</v>
      </c>
      <c r="AG16">
        <f>ABS(AE12-AE$2)</f>
        <v>0.85609256999999772</v>
      </c>
    </row>
    <row r="17" spans="1:34" x14ac:dyDescent="0.35">
      <c r="A17" s="1">
        <v>0.76068059320000003</v>
      </c>
      <c r="B17" t="str">
        <f t="shared" ref="B17:B19" si="0">IF(AND(B13&lt;=B3,B13&gt;=C3),"CASE 2",IF(AND(C13&lt;=B3,C13&gt;=C3),"CASE 1",IF(AND(B13&gt;=B3,C13&lt;=C3),"CASE 3",IF(AND(B13&lt;=B3,C13&gt;=C3),"CASE 4",FALSE()))))</f>
        <v>CASE 3</v>
      </c>
      <c r="C17">
        <f>ABS(A13-A$3)</f>
        <v>0.5228513480000001</v>
      </c>
      <c r="D17" s="1">
        <v>1.051744008</v>
      </c>
      <c r="E17" t="str">
        <f t="shared" ref="E17:E19" si="1">IF(AND(E13&lt;=E3,E13&gt;=F3),"CASE 2",IF(AND(F13&lt;=E3,F13&gt;=F3),"CASE 1",IF(AND(E13&gt;=E3,F13&lt;=F3),"CASE 3",IF(AND(E13&lt;=E3,F13&gt;=F3),"CASE 4",FALSE()))))</f>
        <v>CASE 3</v>
      </c>
      <c r="F17">
        <f>ABS(D13-D$3)</f>
        <v>0.24489396900000004</v>
      </c>
      <c r="G17" s="1">
        <v>0.75264385759999997</v>
      </c>
      <c r="H17" t="str">
        <f t="shared" ref="H17:H19" si="2">IF(AND(H13&lt;=H3,H13&gt;=I3),"CASE 2",IF(AND(I13&lt;=H3,I13&gt;=I3),"CASE 1",IF(AND(H13&gt;=H3,I13&lt;=I3),"CASE 3",IF(AND(H13&lt;=H3,I13&gt;=I3),"CASE 4",FALSE()))))</f>
        <v>CASE 3</v>
      </c>
      <c r="I17">
        <f>ABS(G13-G$3)</f>
        <v>0.14934838300000042</v>
      </c>
      <c r="J17" s="1">
        <v>0.62000370670000005</v>
      </c>
      <c r="K17" t="str">
        <f t="shared" ref="K17:K19" si="3">IF(AND(K13&lt;=K3,K13&gt;=L3),"CASE 2",IF(AND(L13&lt;=K3,L13&gt;=L3),"CASE 1",IF(AND(K13&gt;=K3,L13&lt;=L3),"CASE 3",IF(AND(K13&lt;=K3,L13&gt;=L3),"CASE 4",FALSE()))))</f>
        <v>CASE 3</v>
      </c>
      <c r="L17">
        <f>ABS(J13-J$3)</f>
        <v>5.946516999999929E-3</v>
      </c>
      <c r="M17" s="1">
        <v>2.046106822</v>
      </c>
      <c r="N17" t="str">
        <f t="shared" ref="N17:N19" si="4">IF(AND(N13&lt;=N3,N13&gt;=O3),"CASE 2",IF(AND(O13&lt;=N3,O13&gt;=O3),"CASE 1",IF(AND(N13&gt;=N3,O13&lt;=O3),"CASE 3",IF(AND(N13&lt;=N3,O13&gt;=O3),"CASE 4",FALSE()))))</f>
        <v>CASE 3</v>
      </c>
      <c r="O17">
        <f>ABS(M13-M$3)</f>
        <v>1.3284563869999997</v>
      </c>
      <c r="P17" s="1">
        <v>0.5186494854</v>
      </c>
      <c r="Q17" t="str">
        <f t="shared" ref="Q17:Q19" si="5">IF(AND(Q13&lt;=Q3,Q13&gt;=R3),"CASE 2",IF(AND(R13&lt;=Q3,R13&gt;=R3),"CASE 1",IF(AND(Q13&gt;=Q3,R13&lt;=R3),"CASE 3",IF(AND(Q13&lt;=Q3,R13&gt;=R3),"CASE 4",FALSE()))))</f>
        <v>CASE 3</v>
      </c>
      <c r="R17">
        <f>ABS(P13-P$3)</f>
        <v>9.6386669999999341E-3</v>
      </c>
      <c r="S17" s="1">
        <v>0.52781148470000006</v>
      </c>
      <c r="T17" t="str">
        <f t="shared" ref="T17:T19" si="6">IF(AND(T13&lt;=T3,T13&gt;=U3),"CASE 2",IF(AND(U13&lt;=T3,U13&gt;=U3),"CASE 1",IF(AND(T13&gt;=T3,U13&lt;=U3),"CASE 3",IF(AND(T13&lt;=T3,U13&gt;=U3),"CASE 4",FALSE()))))</f>
        <v>CASE 3</v>
      </c>
      <c r="U17">
        <f>ABS(S13-S$3)</f>
        <v>3.3748209000000085E-2</v>
      </c>
      <c r="V17" s="1">
        <v>1.4457364559999999</v>
      </c>
      <c r="W17" t="str">
        <f t="shared" ref="W17:W19" si="7">IF(AND(W13&lt;=W3,W13&gt;=X3),"CASE 2",IF(AND(X13&lt;=W3,X13&gt;=X3),"CASE 1",IF(AND(W13&gt;=W3,X13&lt;=X3),"CASE 3",IF(AND(W13&lt;=W3,X13&gt;=X3),"CASE 4",FALSE()))))</f>
        <v>CASE 3</v>
      </c>
      <c r="X17">
        <f>ABS(V13-V$3)</f>
        <v>0.17488142900000003</v>
      </c>
      <c r="Y17" s="1">
        <v>2.0702745949999999</v>
      </c>
      <c r="Z17" t="str">
        <f t="shared" ref="Z17:Z19" si="8">IF(AND(Z13&lt;=Z3,Z13&gt;=AA3),"CASE 2",IF(AND(AA13&lt;=Z3,AA13&gt;=AA3),"CASE 1",IF(AND(Z13&gt;=Z3,AA13&lt;=AA3),"CASE 3",IF(AND(Z13&lt;=Z3,AA13&gt;=AA3),"CASE 4",FALSE()))))</f>
        <v>CASE 3</v>
      </c>
      <c r="AA17">
        <f>ABS(Y13-Y$3)</f>
        <v>0.35047014099999974</v>
      </c>
      <c r="AB17" s="1">
        <v>1.552674162</v>
      </c>
      <c r="AC17" t="str">
        <f t="shared" ref="AC17:AC19" si="9">IF(AND(AC13&lt;=AC3,AC13&gt;=AD3),"CASE 2",IF(AND(AD13&lt;=AC3,AD13&gt;=AD3),"CASE 1",IF(AND(AC13&gt;=AC3,AD13&lt;=AD3),"CASE 3",IF(AND(AC13&lt;=AC3,AD13&gt;=AD3),"CASE 4",FALSE()))))</f>
        <v>CASE 3</v>
      </c>
      <c r="AD17">
        <f>ABS(AB13-AB$3)</f>
        <v>0.85851693099999959</v>
      </c>
      <c r="AE17" s="1">
        <v>19.25145564</v>
      </c>
      <c r="AF17" t="str">
        <f t="shared" ref="AF17:AF19" si="10">IF(AND(AF13&lt;=AF3,AF13&gt;=AG3),"CASE 2",IF(AND(AG13&lt;=AF3,AG13&gt;=AG3),"CASE 1",IF(AND(AF13&gt;=AF3,AG13&lt;=AG3),"CASE 3",IF(AND(AF13&lt;=AF3,AG13&gt;=AG3),"CASE 4",FALSE()))))</f>
        <v>CASE 3</v>
      </c>
      <c r="AG17">
        <f>ABS(AE13-AE$3)</f>
        <v>14.742439032</v>
      </c>
    </row>
    <row r="18" spans="1:34" x14ac:dyDescent="0.35">
      <c r="A18" s="1">
        <v>0.31360448940000002</v>
      </c>
      <c r="B18" t="b">
        <f t="shared" si="0"/>
        <v>0</v>
      </c>
      <c r="C18">
        <f>ABS(A14-A$4)</f>
        <v>0.39999366199999997</v>
      </c>
      <c r="D18" s="1">
        <v>1.3643668959999999</v>
      </c>
      <c r="E18" t="str">
        <f t="shared" si="1"/>
        <v>CASE 3</v>
      </c>
      <c r="F18">
        <f>ABS(D14-D$4)</f>
        <v>0.451375101</v>
      </c>
      <c r="G18" s="1">
        <v>0.20848512769999999</v>
      </c>
      <c r="H18" t="str">
        <f t="shared" si="2"/>
        <v>CASE 3</v>
      </c>
      <c r="I18">
        <f>ABS(G14-G$4)</f>
        <v>5.0815825000000148E-2</v>
      </c>
      <c r="J18" s="1">
        <v>0.520406649</v>
      </c>
      <c r="K18" t="str">
        <f t="shared" si="3"/>
        <v>CASE 3</v>
      </c>
      <c r="L18">
        <f>ABS(J14-J$4)</f>
        <v>4.8340437999999875E-2</v>
      </c>
      <c r="M18" s="1">
        <v>2.7703360639999999</v>
      </c>
      <c r="N18" t="str">
        <f t="shared" si="4"/>
        <v>CASE 3</v>
      </c>
      <c r="O18">
        <f>ABS(M14-M$4)</f>
        <v>1.2264150940000003</v>
      </c>
      <c r="P18" s="1">
        <v>0.75020963389999995</v>
      </c>
      <c r="Q18" t="str">
        <f t="shared" si="5"/>
        <v>CASE 3</v>
      </c>
      <c r="R18">
        <f>ABS(P14-P$4)</f>
        <v>0.55450540399999992</v>
      </c>
      <c r="S18" s="1">
        <v>0.32772466500000003</v>
      </c>
      <c r="T18" t="str">
        <f t="shared" si="6"/>
        <v>CASE 3</v>
      </c>
      <c r="U18">
        <f>ABS(S14-S$4)</f>
        <v>9.2651877999999854E-2</v>
      </c>
      <c r="V18" s="1">
        <v>0.20150379530000001</v>
      </c>
      <c r="W18" t="b">
        <f t="shared" si="7"/>
        <v>0</v>
      </c>
      <c r="X18">
        <f>ABS(V14-V$4)</f>
        <v>0.94815047699999999</v>
      </c>
      <c r="Y18" s="1">
        <v>0.95990133799999999</v>
      </c>
      <c r="Z18" t="str">
        <f t="shared" si="8"/>
        <v>CASE 3</v>
      </c>
      <c r="AA18">
        <f>ABS(Y14-Y$4)</f>
        <v>0.17030098999999987</v>
      </c>
      <c r="AB18" s="1">
        <v>2.456719965</v>
      </c>
      <c r="AC18" t="str">
        <f t="shared" si="9"/>
        <v>CASE 3</v>
      </c>
      <c r="AD18">
        <f>ABS(AB14-AB$4)</f>
        <v>3.8669320999999979E-2</v>
      </c>
      <c r="AE18" s="1">
        <v>1.8631307720000001</v>
      </c>
      <c r="AF18" t="str">
        <f t="shared" si="10"/>
        <v>CASE 3</v>
      </c>
      <c r="AG18">
        <f>ABS(AE14-AE$4)</f>
        <v>0.80993095699999973</v>
      </c>
    </row>
    <row r="19" spans="1:34" x14ac:dyDescent="0.35">
      <c r="A19" s="1">
        <v>0.2126405643</v>
      </c>
      <c r="B19" t="str">
        <f t="shared" si="0"/>
        <v>CASE 3</v>
      </c>
      <c r="C19">
        <f>ABS(A15-A$5)</f>
        <v>4.4242150999999952E-2</v>
      </c>
      <c r="D19" s="1">
        <v>0.47451493099999997</v>
      </c>
      <c r="E19" t="str">
        <f t="shared" si="1"/>
        <v>CASE 3</v>
      </c>
      <c r="F19">
        <f>ABS(D15-D$5)</f>
        <v>4.4944998000000069E-2</v>
      </c>
      <c r="G19" s="1">
        <v>0.44358550060000002</v>
      </c>
      <c r="H19" t="str">
        <f t="shared" si="2"/>
        <v>CASE 3</v>
      </c>
      <c r="I19">
        <f>ABS(G15-G$5)</f>
        <v>8.5490939999999238E-3</v>
      </c>
      <c r="J19" s="1">
        <v>0.2359325115</v>
      </c>
      <c r="K19" t="str">
        <f t="shared" si="3"/>
        <v>CASE 3</v>
      </c>
      <c r="L19">
        <f>ABS(J15-J$5)</f>
        <v>2.4443799999995797E-4</v>
      </c>
      <c r="M19" s="1">
        <v>0.78504267729999999</v>
      </c>
      <c r="N19" t="str">
        <f t="shared" si="4"/>
        <v>CASE 3</v>
      </c>
      <c r="O19">
        <f>ABS(M15-M$5)</f>
        <v>0.28263056299999967</v>
      </c>
      <c r="P19" s="1">
        <v>0.26801856470000002</v>
      </c>
      <c r="Q19" t="str">
        <f t="shared" si="5"/>
        <v>CASE 3</v>
      </c>
      <c r="R19">
        <f>ABS(P15-P$5)</f>
        <v>3.9382219999999801E-2</v>
      </c>
      <c r="S19" s="1">
        <v>0.2442825676</v>
      </c>
      <c r="T19" t="str">
        <f t="shared" si="6"/>
        <v>CASE 3</v>
      </c>
      <c r="U19">
        <f>ABS(S15-S$5)</f>
        <v>1.1104591000000053E-2</v>
      </c>
      <c r="V19" s="1">
        <v>0.80608749970000004</v>
      </c>
      <c r="W19" t="str">
        <f t="shared" si="7"/>
        <v>CASE 3</v>
      </c>
      <c r="X19">
        <f>ABS(V15-V$5)</f>
        <v>0.29607462900000003</v>
      </c>
      <c r="Y19" s="1">
        <v>0.76151627290000001</v>
      </c>
      <c r="Z19" t="str">
        <f t="shared" si="8"/>
        <v>CASE 3</v>
      </c>
      <c r="AA19">
        <f>ABS(Y15-Y$5)</f>
        <v>0.14508971599999998</v>
      </c>
      <c r="AB19" s="1">
        <v>0.81083140870000003</v>
      </c>
      <c r="AC19" t="str">
        <f t="shared" si="9"/>
        <v>CASE 3</v>
      </c>
      <c r="AD19">
        <f>ABS(AB15-AB$5)</f>
        <v>3.2280090000000872E-3</v>
      </c>
      <c r="AE19" s="1">
        <v>9.3800019020000001</v>
      </c>
      <c r="AF19" t="str">
        <f t="shared" si="10"/>
        <v>CASE 3</v>
      </c>
      <c r="AG19">
        <f>ABS(AE15-AE$5)</f>
        <v>1.7024555210000001</v>
      </c>
      <c r="AH19" t="s">
        <v>17</v>
      </c>
    </row>
    <row r="20" spans="1:34" x14ac:dyDescent="0.35">
      <c r="B20" t="s">
        <v>16</v>
      </c>
      <c r="C20">
        <f>SUM(C16:C19)</f>
        <v>1.0002995810000017</v>
      </c>
      <c r="E20" t="s">
        <v>16</v>
      </c>
      <c r="F20">
        <f>SUM(F16:F19)</f>
        <v>0.89158540800000141</v>
      </c>
      <c r="H20" t="s">
        <v>16</v>
      </c>
      <c r="I20">
        <f>SUM(I16:I19)</f>
        <v>0.2143154220000012</v>
      </c>
      <c r="K20" t="s">
        <v>16</v>
      </c>
      <c r="L20">
        <f>SUM(L16:L19)</f>
        <v>5.663237299999957E-2</v>
      </c>
      <c r="N20" t="s">
        <v>16</v>
      </c>
      <c r="O20">
        <f>SUM(O16:O19)</f>
        <v>3.0968911139999991</v>
      </c>
      <c r="Q20" t="s">
        <v>16</v>
      </c>
      <c r="R20">
        <f>SUM(R16:R19)</f>
        <v>0.73607364099999906</v>
      </c>
      <c r="T20" t="s">
        <v>16</v>
      </c>
      <c r="U20">
        <f>SUM(U16:U19)</f>
        <v>0.16284929800000203</v>
      </c>
      <c r="W20" t="s">
        <v>16</v>
      </c>
      <c r="X20">
        <f>SUM(X16:X19)</f>
        <v>2.0169172850000008</v>
      </c>
      <c r="Z20" t="s">
        <v>16</v>
      </c>
      <c r="AA20">
        <f>SUM(AA16:AA19)</f>
        <v>0.67523229699999932</v>
      </c>
      <c r="AC20" t="s">
        <v>16</v>
      </c>
      <c r="AD20">
        <f>SUM(AD16:AD19)</f>
        <v>0.95899263100000076</v>
      </c>
      <c r="AF20" t="s">
        <v>16</v>
      </c>
      <c r="AG20">
        <f>SUM(AG16:AG19)</f>
        <v>18.110918079999998</v>
      </c>
      <c r="AH20">
        <f>SUM(F16:F19,C16:C19,I16:I19,L16:L19,O16:O19,R16:R19,U16:U19,X16:X19,AA16:AA19,AD16:AD19)</f>
        <v>9.8097890500000027</v>
      </c>
    </row>
    <row r="21" spans="1:34" hidden="1" x14ac:dyDescent="0.35">
      <c r="A21" s="1" t="s">
        <v>2</v>
      </c>
    </row>
    <row r="22" spans="1:34" hidden="1" x14ac:dyDescent="0.35">
      <c r="A22" s="1">
        <v>16.43207073</v>
      </c>
      <c r="B22">
        <f>A22+A26</f>
        <v>16.520500488669999</v>
      </c>
      <c r="C22">
        <f>A22-A26</f>
        <v>16.34364097133</v>
      </c>
      <c r="D22" s="1">
        <v>15.45696497</v>
      </c>
      <c r="E22">
        <f>D22+D26</f>
        <v>15.9500438727</v>
      </c>
      <c r="F22">
        <f>D22-D26</f>
        <v>14.963886067299999</v>
      </c>
      <c r="G22" s="1">
        <v>15.90948081</v>
      </c>
      <c r="H22">
        <f>G22+G26</f>
        <v>16.00502529513</v>
      </c>
      <c r="I22">
        <f>G22-G26</f>
        <v>15.813936324869999</v>
      </c>
      <c r="J22" s="1">
        <v>15.871792320000001</v>
      </c>
      <c r="K22">
        <f>J22+J26</f>
        <v>16.0203166075</v>
      </c>
      <c r="L22">
        <f>J22-J26</f>
        <v>15.7232680325</v>
      </c>
      <c r="M22" s="1">
        <v>15.8119061</v>
      </c>
      <c r="N22">
        <f>M22+M26</f>
        <v>16.2958368382</v>
      </c>
      <c r="O22">
        <f>M22-M26</f>
        <v>15.3279753618</v>
      </c>
      <c r="P22" s="1">
        <v>15.724308069999999</v>
      </c>
      <c r="Q22">
        <f>P22+P26</f>
        <v>15.8927751661</v>
      </c>
      <c r="R22">
        <f>P22-P26</f>
        <v>15.555840973899999</v>
      </c>
      <c r="S22" s="1">
        <v>16.08496225</v>
      </c>
      <c r="T22">
        <f>S22+S26</f>
        <v>16.180545249000001</v>
      </c>
      <c r="U22">
        <f>S22-S26</f>
        <v>15.989379251000001</v>
      </c>
      <c r="V22" s="1">
        <v>14.82395077</v>
      </c>
      <c r="W22">
        <f>V22+V26</f>
        <v>15.0706512635</v>
      </c>
      <c r="X22">
        <f>V22-V26</f>
        <v>14.577250276499999</v>
      </c>
      <c r="Y22" s="1">
        <v>14.78333473</v>
      </c>
      <c r="Z22">
        <f>Y22+Y26</f>
        <v>15.0426574032</v>
      </c>
      <c r="AA22">
        <f>Y22-Y26</f>
        <v>14.5240120568</v>
      </c>
      <c r="AB22" s="1">
        <v>15.014064550000001</v>
      </c>
      <c r="AC22">
        <f>AB22+AB26</f>
        <v>15.405841045300001</v>
      </c>
      <c r="AD22">
        <f>AB22-AB26</f>
        <v>14.6222880547</v>
      </c>
      <c r="AE22" s="1">
        <v>15.994587900000001</v>
      </c>
      <c r="AF22">
        <f>AE22+AE26</f>
        <v>16.792318103300001</v>
      </c>
      <c r="AG22">
        <f>AE22-AE26</f>
        <v>15.1968576967</v>
      </c>
    </row>
    <row r="23" spans="1:34" hidden="1" x14ac:dyDescent="0.35">
      <c r="A23" s="1">
        <v>4.3758046630000003</v>
      </c>
      <c r="B23">
        <f>A23+A27</f>
        <v>5.3648045461000002</v>
      </c>
      <c r="C23">
        <f>A23-A27</f>
        <v>3.3868047799000003</v>
      </c>
      <c r="D23" s="1">
        <v>3.66436553</v>
      </c>
      <c r="E23">
        <f>D23+D27</f>
        <v>4.7310086380000005</v>
      </c>
      <c r="F23">
        <f>D23-D27</f>
        <v>2.5977224219999999</v>
      </c>
      <c r="G23" s="1">
        <v>4.314813107</v>
      </c>
      <c r="H23">
        <f>G23+G27</f>
        <v>5.0638773537999997</v>
      </c>
      <c r="I23">
        <f>G23-G27</f>
        <v>3.5657488601999998</v>
      </c>
      <c r="J23" s="1">
        <v>4.2401317949999999</v>
      </c>
      <c r="K23">
        <f>J23+J27</f>
        <v>4.8664125793000004</v>
      </c>
      <c r="L23">
        <f>J23-J27</f>
        <v>3.6138510106999999</v>
      </c>
      <c r="M23" s="1">
        <v>4.3517668250000003</v>
      </c>
      <c r="N23">
        <f>M23+M27</f>
        <v>6.3986003470000004</v>
      </c>
      <c r="O23">
        <f>M23-M27</f>
        <v>2.3049333030000003</v>
      </c>
      <c r="P23" s="1">
        <v>4.370222032</v>
      </c>
      <c r="Q23">
        <f>P23+P27</f>
        <v>4.8892955966000002</v>
      </c>
      <c r="R23">
        <f>P23-P27</f>
        <v>3.8511484673999998</v>
      </c>
      <c r="S23" s="1">
        <v>3.9733293060000001</v>
      </c>
      <c r="T23">
        <f>S23+S27</f>
        <v>4.5051446863000004</v>
      </c>
      <c r="U23">
        <f>S23-S27</f>
        <v>3.4415139257000003</v>
      </c>
      <c r="V23" s="1">
        <v>4.1681020860000002</v>
      </c>
      <c r="W23">
        <f>V23+V27</f>
        <v>5.5974595430000003</v>
      </c>
      <c r="X23">
        <f>V23-V27</f>
        <v>2.7387446290000002</v>
      </c>
      <c r="Y23" s="1">
        <v>4.4621226790000001</v>
      </c>
      <c r="Z23">
        <f>Y23+Y27</f>
        <v>6.6102690450000008</v>
      </c>
      <c r="AA23">
        <f>Y23-Y27</f>
        <v>2.313976313</v>
      </c>
      <c r="AB23" s="1">
        <v>5.3168513769999999</v>
      </c>
      <c r="AC23">
        <f>AB23+AB27</f>
        <v>6.8690337760000002</v>
      </c>
      <c r="AD23">
        <f>AB23-AB27</f>
        <v>3.7646689779999996</v>
      </c>
      <c r="AE23" s="1">
        <v>20</v>
      </c>
      <c r="AF23">
        <f>AE23+AE27</f>
        <v>40.329168519999996</v>
      </c>
      <c r="AG23">
        <f>AE23-AE27</f>
        <v>-0.32916851999999963</v>
      </c>
    </row>
    <row r="24" spans="1:34" hidden="1" x14ac:dyDescent="0.35">
      <c r="A24" s="1">
        <v>3.2330894539999999</v>
      </c>
      <c r="B24">
        <f>A24+A27</f>
        <v>4.2220893370999999</v>
      </c>
      <c r="C24">
        <f>A24-A27</f>
        <v>2.2440895708999999</v>
      </c>
      <c r="D24" s="1">
        <v>2.1520342079999999</v>
      </c>
      <c r="E24">
        <f>D24+D27</f>
        <v>3.218677316</v>
      </c>
      <c r="F24">
        <f>D24-D27</f>
        <v>1.0853910999999998</v>
      </c>
      <c r="G24" s="1">
        <v>1.1761884309999999</v>
      </c>
      <c r="H24">
        <f>G24+G27</f>
        <v>1.9252526778000001</v>
      </c>
      <c r="I24">
        <f>G24-G27</f>
        <v>0.42712418419999987</v>
      </c>
      <c r="J24" s="1">
        <v>2.131048769</v>
      </c>
      <c r="K24">
        <f>J24+J27</f>
        <v>2.7573295533</v>
      </c>
      <c r="L24">
        <f>J24-J27</f>
        <v>1.5047679846999999</v>
      </c>
      <c r="M24" s="1">
        <v>3.2137884940000001</v>
      </c>
      <c r="N24">
        <f>M24+M27</f>
        <v>5.2606220160000001</v>
      </c>
      <c r="O24">
        <f>M24-M27</f>
        <v>1.1669549720000001</v>
      </c>
      <c r="P24" s="1">
        <v>3.0372528139999999</v>
      </c>
      <c r="Q24">
        <f>P24+P27</f>
        <v>3.5563263785999997</v>
      </c>
      <c r="R24">
        <f>P24-P27</f>
        <v>2.5181792494000002</v>
      </c>
      <c r="S24" s="1">
        <v>1.9227878979999999</v>
      </c>
      <c r="T24">
        <f>S24+S27</f>
        <v>2.4546032783</v>
      </c>
      <c r="U24">
        <f>S24-S27</f>
        <v>1.3909725176999999</v>
      </c>
      <c r="V24" s="1">
        <v>0.4916254766</v>
      </c>
      <c r="W24">
        <f>V24+V27</f>
        <v>1.9209829335999999</v>
      </c>
      <c r="X24">
        <f>V24-V27</f>
        <v>-0.93773198040000005</v>
      </c>
      <c r="Y24" s="1">
        <v>1.75153479</v>
      </c>
      <c r="Z24">
        <f>Y24+Y27</f>
        <v>3.8996811560000002</v>
      </c>
      <c r="AA24">
        <f>Y24-Y27</f>
        <v>-0.39661157600000019</v>
      </c>
      <c r="AB24" s="1">
        <v>3.253309904</v>
      </c>
      <c r="AC24">
        <f>AB24+AB27</f>
        <v>4.8054923030000003</v>
      </c>
      <c r="AD24">
        <f>AB24-AB27</f>
        <v>1.7011275049999999</v>
      </c>
      <c r="AE24" s="1">
        <v>2.5430605260000001</v>
      </c>
      <c r="AF24">
        <f>AE24+AE27</f>
        <v>22.872229046000001</v>
      </c>
      <c r="AG24">
        <f>AE24-AE27</f>
        <v>-17.786107993999998</v>
      </c>
    </row>
    <row r="25" spans="1:34" hidden="1" x14ac:dyDescent="0.35">
      <c r="A25" s="1">
        <v>1.9330334659999999</v>
      </c>
      <c r="B25">
        <f>A25+A29</f>
        <v>2.1731721463999998</v>
      </c>
      <c r="C25">
        <f>A25-A29</f>
        <v>1.6928947855999998</v>
      </c>
      <c r="D25" s="1">
        <v>1.8122501369999999</v>
      </c>
      <c r="E25">
        <f>D25+D29</f>
        <v>2.2828024338999997</v>
      </c>
      <c r="F25">
        <f>D25-D29</f>
        <v>1.3416978400999999</v>
      </c>
      <c r="G25" s="1">
        <v>1.9653177260000001</v>
      </c>
      <c r="H25">
        <f>G25+G29</f>
        <v>2.4062807113</v>
      </c>
      <c r="I25">
        <f>G25-G29</f>
        <v>1.5243547407000002</v>
      </c>
      <c r="J25" s="1">
        <v>1.9091013670000001</v>
      </c>
      <c r="K25">
        <f>J25+J29</f>
        <v>2.1468827210999999</v>
      </c>
      <c r="L25">
        <f>J25-J29</f>
        <v>1.6713200129000001</v>
      </c>
      <c r="M25" s="1">
        <v>2.2842954400000002</v>
      </c>
      <c r="N25">
        <f>M25+M29</f>
        <v>3.0690158062000004</v>
      </c>
      <c r="O25">
        <f>M25-M29</f>
        <v>1.4995750738000002</v>
      </c>
      <c r="P25" s="1">
        <v>2.0256347360000002</v>
      </c>
      <c r="Q25">
        <f>P25+P29</f>
        <v>2.2938336020000003</v>
      </c>
      <c r="R25">
        <f>P25-P29</f>
        <v>1.7574358700000001</v>
      </c>
      <c r="S25" s="1">
        <v>1.642578471</v>
      </c>
      <c r="T25">
        <f>S25+S29</f>
        <v>1.8883882205</v>
      </c>
      <c r="U25">
        <f>S25-S29</f>
        <v>1.3967687215</v>
      </c>
      <c r="V25" s="1">
        <v>1.6899633409999999</v>
      </c>
      <c r="W25">
        <f>V25+V29</f>
        <v>2.4980237756000001</v>
      </c>
      <c r="X25">
        <f>V25-V29</f>
        <v>0.88190290639999991</v>
      </c>
      <c r="Y25" s="1">
        <v>1.883602142</v>
      </c>
      <c r="Z25">
        <f>Y25+Y29</f>
        <v>2.6690033674000002</v>
      </c>
      <c r="AA25">
        <f>Y25-Y29</f>
        <v>1.0982009166</v>
      </c>
      <c r="AB25" s="1">
        <v>1.7133026119999999</v>
      </c>
      <c r="AC25">
        <f>AB25+AB29</f>
        <v>2.5239111167999999</v>
      </c>
      <c r="AD25">
        <f>AB25-AB29</f>
        <v>0.90269410719999987</v>
      </c>
      <c r="AE25" s="1">
        <v>3.2131652829999999</v>
      </c>
      <c r="AF25">
        <f>AE25+AE29</f>
        <v>13.081415877</v>
      </c>
      <c r="AG25">
        <f>AE25-AE29</f>
        <v>-6.6550853109999988</v>
      </c>
    </row>
    <row r="26" spans="1:34" hidden="1" x14ac:dyDescent="0.35">
      <c r="A26" s="1">
        <v>8.8429758669999997E-2</v>
      </c>
      <c r="B26" t="str">
        <f>IF(AND(B22&lt;=B2,B22&gt;=C2),"CASE 2",IF(AND(C22&lt;=B2,C22&gt;=C2),"CASE 1",IF(AND(B22&gt;=B2,C22&lt;=C2),"CASE 3",IF(AND(B22&lt;=B2,C22&gt;=C2),"CASE 4",FALSE()))))</f>
        <v>CASE 3</v>
      </c>
      <c r="C26">
        <f>ABS(A22-A$2)</f>
        <v>1.4156339999999545E-2</v>
      </c>
      <c r="D26" s="1">
        <v>0.49307890269999999</v>
      </c>
      <c r="E26" t="str">
        <f>IF(AND(E22&lt;=E2,E22&gt;=F2),"CASE 2",IF(AND(F22&lt;=E2,F22&gt;=F2),"CASE 1",IF(AND(E22&gt;=E2,F22&lt;=F2),"CASE 3",IF(AND(E22&lt;=E2,F22&gt;=F2),"CASE 4",FALSE()))))</f>
        <v>CASE 3</v>
      </c>
      <c r="F26">
        <f>ABS(D22-D$2)</f>
        <v>0.14120221000000122</v>
      </c>
      <c r="G26" s="1">
        <v>9.5544485129999995E-2</v>
      </c>
      <c r="H26" t="str">
        <f>IF(AND(H22&lt;=H2,H22&gt;=I2),"CASE 2",IF(AND(I22&lt;=H2,I22&gt;=I2),"CASE 1",IF(AND(H22&gt;=H2,I22&lt;=I2),"CASE 3",IF(AND(H22&lt;=H2,I22&gt;=I2),"CASE 4",FALSE()))))</f>
        <v>CASE 3</v>
      </c>
      <c r="I26">
        <f>ABS(G22-G$2)</f>
        <v>9.8042500000001809E-3</v>
      </c>
      <c r="J26" s="1">
        <v>0.14852428749999999</v>
      </c>
      <c r="K26" t="str">
        <f>IF(AND(K22&lt;=K2,K22&gt;=L2),"CASE 2",IF(AND(L22&lt;=K2,L22&gt;=L2),"CASE 1",IF(AND(K22&gt;=K2,L22&lt;=L2),"CASE 3",IF(AND(K22&lt;=K2,L22&gt;=L2),"CASE 4",FALSE()))))</f>
        <v>CASE 3</v>
      </c>
      <c r="L26">
        <f>ABS(J22-J$2)</f>
        <v>1.3882600000005851E-3</v>
      </c>
      <c r="M26" s="1">
        <v>0.48393073819999999</v>
      </c>
      <c r="N26" t="str">
        <f>IF(AND(N22&lt;=N2,N22&gt;=O2),"CASE 2",IF(AND(O22&lt;=N2,O22&gt;=O2),"CASE 1",IF(AND(N22&gt;=N2,O22&lt;=O2),"CASE 3",IF(AND(N22&lt;=N2,O22&gt;=O2),"CASE 4",FALSE()))))</f>
        <v>CASE 3</v>
      </c>
      <c r="O26">
        <f>ABS(M22-M$2)</f>
        <v>0.25953280999999961</v>
      </c>
      <c r="P26" s="1">
        <v>0.16846709609999999</v>
      </c>
      <c r="Q26" t="str">
        <f>IF(AND(Q22&lt;=Q2,Q22&gt;=R2),"CASE 2",IF(AND(R22&lt;=Q2,R22&gt;=R2),"CASE 1",IF(AND(Q22&gt;=Q2,R22&lt;=R2),"CASE 3",IF(AND(Q22&lt;=Q2,R22&gt;=R2),"CASE 4",FALSE()))))</f>
        <v>CASE 3</v>
      </c>
      <c r="R26">
        <f>ABS(P22-P$2)</f>
        <v>0.13120033999999947</v>
      </c>
      <c r="S26" s="1">
        <v>9.5582999000000002E-2</v>
      </c>
      <c r="T26" t="str">
        <f>IF(AND(T22&lt;=T2,T22&gt;=U2),"CASE 2",IF(AND(U22&lt;=T2,U22&gt;=U2),"CASE 1",IF(AND(T22&gt;=T2,U22&lt;=U2),"CASE 3",IF(AND(T22&lt;=T2,U22&gt;=U2),"CASE 4",FALSE()))))</f>
        <v>CASE 3</v>
      </c>
      <c r="U26">
        <f>ABS(S22-S$2)</f>
        <v>2.4269100000001487E-2</v>
      </c>
      <c r="V26" s="1">
        <v>0.24670049350000001</v>
      </c>
      <c r="W26" t="b">
        <f>IF(AND(W22&lt;=W2,W22&gt;=X2),"CASE 2",IF(AND(X22&lt;=W2,X22&gt;=X2),"CASE 1",IF(AND(W22&gt;=W2,X22&lt;=X2),"CASE 3",IF(AND(W22&lt;=W2,X22&gt;=X2),"CASE 4",FALSE()))))</f>
        <v>0</v>
      </c>
      <c r="X26">
        <f>ABS(V22-V$2)</f>
        <v>0.59934139000000108</v>
      </c>
      <c r="Y26" s="1">
        <v>0.25932267320000002</v>
      </c>
      <c r="Z26" t="str">
        <f>IF(AND(Z22&lt;=Z2,Z22&gt;=AA2),"CASE 2",IF(AND(AA22&lt;=Z2,AA22&gt;=AA2),"CASE 1",IF(AND(Z22&gt;=Z2,AA22&lt;=AA2),"CASE 3",IF(AND(Z22&lt;=Z2,AA22&gt;=AA2),"CASE 4",FALSE()))))</f>
        <v>CASE 3</v>
      </c>
      <c r="AA26">
        <f>ABS(Y22-Y$2)</f>
        <v>5.7737800000001727E-3</v>
      </c>
      <c r="AB26" s="1">
        <v>0.39177649530000003</v>
      </c>
      <c r="AC26" t="str">
        <f>IF(AND(AC22&lt;=AC2,AC22&gt;=AD2),"CASE 2",IF(AND(AD22&lt;=AC2,AD22&gt;=AD2),"CASE 1",IF(AND(AC22&gt;=AC2,AD22&lt;=AD2),"CASE 3",IF(AND(AC22&lt;=AC2,AD22&gt;=AD2),"CASE 4",FALSE()))))</f>
        <v>CASE 3</v>
      </c>
      <c r="AD26">
        <f>ABS(AB22-AB$2)</f>
        <v>5.8576460000001163E-2</v>
      </c>
      <c r="AE26" s="1">
        <v>0.7977302033</v>
      </c>
      <c r="AF26" t="str">
        <f>IF(AND(AF22&lt;=AF2,AF22&gt;=AG2),"CASE 2",IF(AND(AG22&lt;=AF2,AG22&gt;=AG2),"CASE 1",IF(AND(AF22&gt;=AF2,AG22&lt;=AG2),"CASE 3",IF(AND(AF22&lt;=AF2,AG22&gt;=AG2),"CASE 4",FALSE()))))</f>
        <v>CASE 1</v>
      </c>
      <c r="AG26">
        <f>ABS(AE22-AE$2)</f>
        <v>0.84094346000000009</v>
      </c>
    </row>
    <row r="27" spans="1:34" hidden="1" x14ac:dyDescent="0.35">
      <c r="A27" s="1">
        <v>0.98899988309999998</v>
      </c>
      <c r="B27" t="str">
        <f t="shared" ref="B27:B29" si="11">IF(AND(B23&lt;=B3,B23&gt;=C3),"CASE 2",IF(AND(C23&lt;=B3,C23&gt;=C3),"CASE 1",IF(AND(B23&gt;=B3,C23&lt;=C3),"CASE 3",IF(AND(B23&lt;=B3,C23&gt;=C3),"CASE 4",FALSE()))))</f>
        <v>CASE 3</v>
      </c>
      <c r="C27">
        <f>ABS(A23-A$3)</f>
        <v>0.43584776000000014</v>
      </c>
      <c r="D27" s="1">
        <v>1.0666431080000001</v>
      </c>
      <c r="E27" t="str">
        <f t="shared" ref="E27:E29" si="12">IF(AND(E23&lt;=E3,E23&gt;=F3),"CASE 2",IF(AND(F23&lt;=E3,F23&gt;=F3),"CASE 1",IF(AND(E23&gt;=E3,F23&lt;=F3),"CASE 3",IF(AND(E23&lt;=E3,F23&gt;=F3),"CASE 4",FALSE()))))</f>
        <v>CASE 3</v>
      </c>
      <c r="F27">
        <f>ABS(D23-D$3)</f>
        <v>0.20513397499999986</v>
      </c>
      <c r="G27" s="1">
        <v>0.74906424680000006</v>
      </c>
      <c r="H27" t="str">
        <f t="shared" ref="H27:H29" si="13">IF(AND(H23&lt;=H3,H23&gt;=I3),"CASE 2",IF(AND(I23&lt;=H3,I23&gt;=I3),"CASE 1",IF(AND(H23&gt;=H3,I23&lt;=I3),"CASE 3",IF(AND(H23&lt;=H3,I23&gt;=I3),"CASE 4",FALSE()))))</f>
        <v>CASE 3</v>
      </c>
      <c r="I27">
        <f>ABS(G23-G$3)</f>
        <v>0.11803874100000034</v>
      </c>
      <c r="J27" s="1">
        <v>0.6262807843</v>
      </c>
      <c r="K27" t="str">
        <f t="shared" ref="K27:K29" si="14">IF(AND(K23&lt;=K3,K23&gt;=L3),"CASE 2",IF(AND(L23&lt;=K3,L23&gt;=L3),"CASE 1",IF(AND(K23&gt;=K3,L23&lt;=L3),"CASE 3",IF(AND(K23&lt;=K3,L23&gt;=L3),"CASE 4",FALSE()))))</f>
        <v>CASE 3</v>
      </c>
      <c r="L27">
        <f>ABS(J23-J$3)</f>
        <v>2.0491301999999934E-2</v>
      </c>
      <c r="M27" s="1">
        <v>2.046833522</v>
      </c>
      <c r="N27" t="str">
        <f t="shared" ref="N27:N29" si="15">IF(AND(N23&lt;=N3,N23&gt;=O3),"CASE 2",IF(AND(O23&lt;=N3,O23&gt;=O3),"CASE 1",IF(AND(N23&gt;=N3,O23&lt;=O3),"CASE 3",IF(AND(N23&lt;=N3,O23&gt;=O3),"CASE 4",FALSE()))))</f>
        <v>CASE 3</v>
      </c>
      <c r="O27">
        <f>ABS(M23-M$3)</f>
        <v>1.3285219520000005</v>
      </c>
      <c r="P27" s="1">
        <v>0.51907356459999998</v>
      </c>
      <c r="Q27" t="str">
        <f t="shared" ref="Q27:Q29" si="16">IF(AND(Q23&lt;=Q3,Q23&gt;=R3),"CASE 2",IF(AND(R23&lt;=Q3,R23&gt;=R3),"CASE 1",IF(AND(Q23&gt;=Q3,R23&lt;=R3),"CASE 3",IF(AND(Q23&lt;=Q3,R23&gt;=R3),"CASE 4",FALSE()))))</f>
        <v>CASE 3</v>
      </c>
      <c r="R27">
        <f>ABS(P23-P$3)</f>
        <v>3.2723000000345337E-5</v>
      </c>
      <c r="S27" s="1">
        <v>0.53181538029999997</v>
      </c>
      <c r="T27" t="str">
        <f t="shared" ref="T27:T29" si="17">IF(AND(T23&lt;=T3,T23&gt;=U3),"CASE 2",IF(AND(U23&lt;=T3,U23&gt;=U3),"CASE 1",IF(AND(T23&gt;=T3,U23&lt;=U3),"CASE 3",IF(AND(T23&lt;=T3,U23&gt;=U3),"CASE 4",FALSE()))))</f>
        <v>CASE 3</v>
      </c>
      <c r="U27">
        <f>ABS(S23-S$3)</f>
        <v>4.8054159000000318E-2</v>
      </c>
      <c r="V27" s="1">
        <v>1.4293574570000001</v>
      </c>
      <c r="W27" t="str">
        <f t="shared" ref="W27:W29" si="18">IF(AND(W23&lt;=W3,W23&gt;=X3),"CASE 2",IF(AND(X23&lt;=W3,X23&gt;=X3),"CASE 1",IF(AND(W23&gt;=W3,X23&lt;=X3),"CASE 3",IF(AND(W23&lt;=W3,X23&gt;=X3),"CASE 4",FALSE()))))</f>
        <v>CASE 3</v>
      </c>
      <c r="X27">
        <f>ABS(V23-V$3)</f>
        <v>0.20981851200000001</v>
      </c>
      <c r="Y27" s="1">
        <v>2.1481463660000002</v>
      </c>
      <c r="Z27" t="str">
        <f t="shared" ref="Z27:Z29" si="19">IF(AND(Z23&lt;=Z3,Z23&gt;=AA3),"CASE 2",IF(AND(AA23&lt;=Z3,AA23&gt;=AA3),"CASE 1",IF(AND(Z23&gt;=Z3,AA23&lt;=AA3),"CASE 3",IF(AND(Z23&lt;=Z3,AA23&gt;=AA3),"CASE 4",FALSE()))))</f>
        <v>CASE 3</v>
      </c>
      <c r="AA27">
        <f>ABS(Y23-Y$3)</f>
        <v>0.42060835699999988</v>
      </c>
      <c r="AB27" s="1">
        <v>1.5521823990000001</v>
      </c>
      <c r="AC27" t="str">
        <f t="shared" ref="AC27:AC29" si="20">IF(AND(AC23&lt;=AC3,AC23&gt;=AD3),"CASE 2",IF(AND(AD23&lt;=AC3,AD23&gt;=AD3),"CASE 1",IF(AND(AC23&gt;=AC3,AD23&lt;=AD3),"CASE 3",IF(AND(AC23&lt;=AC3,AD23&gt;=AD3),"CASE 4",FALSE()))))</f>
        <v>CASE 3</v>
      </c>
      <c r="AD27">
        <f>ABS(AB23-AB$3)</f>
        <v>0.85860389399999981</v>
      </c>
      <c r="AE27" s="1">
        <v>20.32916852</v>
      </c>
      <c r="AF27" t="str">
        <f t="shared" ref="AF27:AF29" si="21">IF(AND(AF23&lt;=AF3,AF23&gt;=AG3),"CASE 2",IF(AND(AG23&lt;=AF3,AG23&gt;=AG3),"CASE 1",IF(AND(AF23&gt;=AF3,AG23&lt;=AG3),"CASE 3",IF(AND(AF23&lt;=AF3,AG23&gt;=AG3),"CASE 4",FALSE()))))</f>
        <v>CASE 3</v>
      </c>
      <c r="AG27">
        <f>ABS(AE23-AE$3)</f>
        <v>14.742439032</v>
      </c>
    </row>
    <row r="28" spans="1:34" hidden="1" x14ac:dyDescent="0.35">
      <c r="A28" s="1">
        <v>0.37683327560000002</v>
      </c>
      <c r="B28" t="str">
        <f t="shared" si="11"/>
        <v>CASE 3</v>
      </c>
      <c r="C28">
        <f>ABS(A24-A$4)</f>
        <v>0.55104105900000011</v>
      </c>
      <c r="D28" s="1">
        <v>1.403448705</v>
      </c>
      <c r="E28" t="str">
        <f t="shared" si="12"/>
        <v>CASE 3</v>
      </c>
      <c r="F28">
        <f>ABS(D24-D$4)</f>
        <v>0.42078495400000016</v>
      </c>
      <c r="G28" s="1">
        <v>0.21827972940000001</v>
      </c>
      <c r="H28" t="str">
        <f t="shared" si="13"/>
        <v>CASE 3</v>
      </c>
      <c r="I28">
        <f>ABS(G24-G$4)</f>
        <v>6.4971695999999968E-2</v>
      </c>
      <c r="J28" s="1">
        <v>0.52044331219999995</v>
      </c>
      <c r="K28" t="str">
        <f t="shared" si="14"/>
        <v>CASE 3</v>
      </c>
      <c r="L28">
        <f>ABS(J24-J$4)</f>
        <v>4.8781050999999742E-2</v>
      </c>
      <c r="M28" s="1">
        <v>2.7699533719999998</v>
      </c>
      <c r="N28" t="str">
        <f t="shared" si="15"/>
        <v>CASE 3</v>
      </c>
      <c r="O28">
        <f>ABS(M24-M$4)</f>
        <v>1.2269499410000002</v>
      </c>
      <c r="P28" s="1">
        <v>0.75002270469999999</v>
      </c>
      <c r="Q28" t="str">
        <f t="shared" si="16"/>
        <v>CASE 1</v>
      </c>
      <c r="R28">
        <f>ABS(P24-P$4)</f>
        <v>0.55170026799999983</v>
      </c>
      <c r="S28" s="1">
        <v>0.33023368209999998</v>
      </c>
      <c r="T28" t="str">
        <f t="shared" si="17"/>
        <v>CASE 3</v>
      </c>
      <c r="U28">
        <f>ABS(S24-S$4)</f>
        <v>8.5204231999999935E-2</v>
      </c>
      <c r="V28" s="1">
        <v>0.1954653231</v>
      </c>
      <c r="W28" t="str">
        <f t="shared" si="18"/>
        <v>CASE 3</v>
      </c>
      <c r="X28">
        <f>ABS(V24-V$4)</f>
        <v>0.94482840940000001</v>
      </c>
      <c r="Y28" s="1">
        <v>0.95084593699999997</v>
      </c>
      <c r="Z28" t="str">
        <f t="shared" si="19"/>
        <v>CASE 3</v>
      </c>
      <c r="AA28">
        <f>ABS(Y24-Y$4)</f>
        <v>0.17938920799999991</v>
      </c>
      <c r="AB28" s="1">
        <v>2.4559535779999999</v>
      </c>
      <c r="AC28" t="str">
        <f t="shared" si="20"/>
        <v>CASE 3</v>
      </c>
      <c r="AD28">
        <f>ABS(AB24-AB$4)</f>
        <v>3.8624065000000041E-2</v>
      </c>
      <c r="AE28" s="1">
        <v>1.868526007</v>
      </c>
      <c r="AF28" t="str">
        <f t="shared" si="21"/>
        <v>CASE 3</v>
      </c>
      <c r="AG28">
        <f>ABS(AE24-AE$4)</f>
        <v>0.78177101100000002</v>
      </c>
    </row>
    <row r="29" spans="1:34" hidden="1" x14ac:dyDescent="0.35">
      <c r="A29" s="1">
        <v>0.2401386804</v>
      </c>
      <c r="B29" t="str">
        <f t="shared" si="11"/>
        <v>CASE 3</v>
      </c>
      <c r="C29">
        <f>ABS(A25-A$5)</f>
        <v>3.3030509999998348E-3</v>
      </c>
      <c r="D29" s="1">
        <v>0.4705522969</v>
      </c>
      <c r="E29" t="str">
        <f t="shared" si="12"/>
        <v>CASE 3</v>
      </c>
      <c r="F29">
        <f>ABS(D25-D$5)</f>
        <v>4.3956995000000054E-2</v>
      </c>
      <c r="G29" s="1">
        <v>0.4409629853</v>
      </c>
      <c r="H29" t="str">
        <f t="shared" si="13"/>
        <v>CASE 3</v>
      </c>
      <c r="I29">
        <f>ABS(G25-G$5)</f>
        <v>1.2021184000000185E-2</v>
      </c>
      <c r="J29" s="1">
        <v>0.23778135410000001</v>
      </c>
      <c r="K29" t="str">
        <f t="shared" si="14"/>
        <v>CASE 3</v>
      </c>
      <c r="L29">
        <f>ABS(J25-J$5)</f>
        <v>4.4760699999999431E-3</v>
      </c>
      <c r="M29" s="1">
        <v>0.78472036619999996</v>
      </c>
      <c r="N29" t="str">
        <f t="shared" si="15"/>
        <v>CASE 3</v>
      </c>
      <c r="O29">
        <f>ABS(M25-M$5)</f>
        <v>0.28270804900000002</v>
      </c>
      <c r="P29" s="1">
        <v>0.26819886599999998</v>
      </c>
      <c r="Q29" t="str">
        <f t="shared" si="16"/>
        <v>CASE 3</v>
      </c>
      <c r="R29">
        <f>ABS(P25-P$5)</f>
        <v>3.4709125999999646E-2</v>
      </c>
      <c r="S29" s="1">
        <v>0.24580974950000001</v>
      </c>
      <c r="T29" t="str">
        <f t="shared" si="17"/>
        <v>CASE 3</v>
      </c>
      <c r="U29">
        <f>ABS(S25-S$5)</f>
        <v>6.5609330000000465E-3</v>
      </c>
      <c r="V29" s="1">
        <v>0.80806043459999999</v>
      </c>
      <c r="W29" t="str">
        <f t="shared" si="18"/>
        <v>CASE 3</v>
      </c>
      <c r="X29">
        <f>ABS(V25-V$5)</f>
        <v>0.28857374200000008</v>
      </c>
      <c r="Y29" s="1">
        <v>0.78540122540000001</v>
      </c>
      <c r="Z29" t="str">
        <f t="shared" si="19"/>
        <v>CASE 3</v>
      </c>
      <c r="AA29">
        <f>ABS(Y25-Y$5)</f>
        <v>0.11904773099999999</v>
      </c>
      <c r="AB29" s="1">
        <v>0.81060850480000002</v>
      </c>
      <c r="AC29" t="str">
        <f t="shared" si="20"/>
        <v>CASE 3</v>
      </c>
      <c r="AD29">
        <f>ABS(AB25-AB$5)</f>
        <v>3.2442220000001853E-3</v>
      </c>
      <c r="AE29" s="1">
        <v>9.8682505939999992</v>
      </c>
      <c r="AF29" t="str">
        <f t="shared" si="21"/>
        <v>CASE 3</v>
      </c>
      <c r="AG29">
        <f>ABS(AE25-AE$5)</f>
        <v>1.6958103179999999</v>
      </c>
      <c r="AH29" t="s">
        <v>17</v>
      </c>
    </row>
    <row r="30" spans="1:34" x14ac:dyDescent="0.35">
      <c r="A30" s="1" t="s">
        <v>19</v>
      </c>
    </row>
    <row r="31" spans="1:34" x14ac:dyDescent="0.35">
      <c r="A31" s="1">
        <v>16.38469577</v>
      </c>
      <c r="B31">
        <f>A31+A35</f>
        <v>16.457064825</v>
      </c>
      <c r="C31">
        <f>A31-A35</f>
        <v>16.312326715000001</v>
      </c>
      <c r="D31" s="1">
        <v>15.447735310000001</v>
      </c>
      <c r="E31">
        <f>D31+D35</f>
        <v>15.932072684000001</v>
      </c>
      <c r="F31">
        <f>D31-D35</f>
        <v>14.963397936</v>
      </c>
      <c r="G31" s="1">
        <v>15.905274390000001</v>
      </c>
      <c r="H31">
        <f>G31+G35</f>
        <v>15.99733878</v>
      </c>
      <c r="I31">
        <f>G31-G35</f>
        <v>15.813210000000002</v>
      </c>
      <c r="J31" s="1">
        <v>15.87245512</v>
      </c>
      <c r="K31">
        <f>J31+J35</f>
        <v>16.020922098</v>
      </c>
      <c r="L31">
        <f>J31-J35</f>
        <v>15.723988142</v>
      </c>
      <c r="M31" s="1">
        <v>15.811712679999999</v>
      </c>
      <c r="N31">
        <f>M31+M35</f>
        <v>16.295698788999999</v>
      </c>
      <c r="O31">
        <f>M31-M35</f>
        <v>15.327726570999999</v>
      </c>
      <c r="P31" s="1">
        <v>15.729316949999999</v>
      </c>
      <c r="Q31">
        <f>P31+P35</f>
        <v>15.899133948999999</v>
      </c>
      <c r="R31">
        <f>P31-P35</f>
        <v>15.559499950999999</v>
      </c>
      <c r="S31" s="1">
        <v>16.08402658</v>
      </c>
      <c r="T31">
        <f>S31+S35</f>
        <v>16.179460423999998</v>
      </c>
      <c r="U31">
        <f>S31-S35</f>
        <v>15.988592735999999</v>
      </c>
      <c r="V31" s="1">
        <v>14.82545805</v>
      </c>
      <c r="W31">
        <f>V31+V35</f>
        <v>15.078355342</v>
      </c>
      <c r="X31">
        <f>V31-V35</f>
        <v>14.572560758</v>
      </c>
      <c r="Y31" s="1">
        <v>14.779529569999999</v>
      </c>
      <c r="Z31">
        <f>Y31+Y35</f>
        <v>15.037693074</v>
      </c>
      <c r="AA31">
        <f>Y31-Y35</f>
        <v>14.521366065999999</v>
      </c>
      <c r="AB31" s="1">
        <v>15.014064550000001</v>
      </c>
      <c r="AC31">
        <f>AB31+AB35</f>
        <v>15.405953795</v>
      </c>
      <c r="AD31">
        <f>AB31-AB35</f>
        <v>14.622175305000001</v>
      </c>
      <c r="AE31" s="1">
        <v>16.012068750000001</v>
      </c>
      <c r="AF31">
        <f>AE31+AE35</f>
        <v>16.810183051000003</v>
      </c>
      <c r="AG31">
        <f>AE31-AE35</f>
        <v>15.213954449000001</v>
      </c>
    </row>
    <row r="32" spans="1:34" x14ac:dyDescent="0.35">
      <c r="A32" s="1">
        <v>4.462709308</v>
      </c>
      <c r="B32">
        <f>A32+A36</f>
        <v>5.2235541550000004</v>
      </c>
      <c r="C32">
        <f>A32-A36</f>
        <v>3.701864461</v>
      </c>
      <c r="D32" s="1">
        <v>3.7041077169999999</v>
      </c>
      <c r="E32">
        <f>D32+D36</f>
        <v>4.7558735969999999</v>
      </c>
      <c r="F32">
        <f>D32-D36</f>
        <v>2.6523418369999998</v>
      </c>
      <c r="G32" s="1">
        <v>4.3461012840000004</v>
      </c>
      <c r="H32">
        <f>G32+G36</f>
        <v>5.0987445330000005</v>
      </c>
      <c r="I32">
        <f>G32-G36</f>
        <v>3.5934580350000003</v>
      </c>
      <c r="J32" s="1">
        <v>4.2255067830000002</v>
      </c>
      <c r="K32">
        <f>J32+J36</f>
        <v>4.8455681340000005</v>
      </c>
      <c r="L32">
        <f>J32-J36</f>
        <v>3.6054454320000002</v>
      </c>
      <c r="M32" s="1">
        <v>4.3516007659999998</v>
      </c>
      <c r="N32">
        <f>M32+M36</f>
        <v>6.3978523139999997</v>
      </c>
      <c r="O32">
        <f>M32-M36</f>
        <v>2.3053492179999999</v>
      </c>
      <c r="P32" s="1">
        <v>4.3863863949999997</v>
      </c>
      <c r="Q32">
        <f>P32+P36</f>
        <v>4.9072143690000001</v>
      </c>
      <c r="R32">
        <f>P32-P36</f>
        <v>3.8655584209999998</v>
      </c>
      <c r="S32" s="1">
        <v>3.9578033690000001</v>
      </c>
      <c r="T32">
        <f>S32+S36</f>
        <v>4.4853049929999997</v>
      </c>
      <c r="U32">
        <f>S32-S36</f>
        <v>3.430301745</v>
      </c>
      <c r="V32" s="1">
        <v>4.2026512619999998</v>
      </c>
      <c r="W32">
        <f>V32+V36</f>
        <v>5.6482243839999997</v>
      </c>
      <c r="X32">
        <f>V32-V36</f>
        <v>2.75707814</v>
      </c>
      <c r="Y32" s="1">
        <v>4.390788615</v>
      </c>
      <c r="Z32">
        <f>Y32+Y36</f>
        <v>6.4614170709999996</v>
      </c>
      <c r="AA32">
        <f>Y32-Y36</f>
        <v>2.3201601589999998</v>
      </c>
      <c r="AB32" s="1">
        <v>5.3167033200000002</v>
      </c>
      <c r="AC32">
        <f>AB32+AB36</f>
        <v>6.8693494230000001</v>
      </c>
      <c r="AD32">
        <f>AB32-AB36</f>
        <v>3.7640572170000004</v>
      </c>
      <c r="AE32" s="1">
        <v>20</v>
      </c>
      <c r="AF32">
        <f>AE32+AE36</f>
        <v>39.474654540000003</v>
      </c>
      <c r="AG32">
        <f>AE32-AE36</f>
        <v>0.52534546000000049</v>
      </c>
    </row>
    <row r="33" spans="1:34" x14ac:dyDescent="0.35">
      <c r="A33" s="1">
        <v>3.08207605</v>
      </c>
      <c r="B33">
        <f>A33+A37</f>
        <v>3.395706492</v>
      </c>
      <c r="C33">
        <f>A33-A37</f>
        <v>2.7684456079999999</v>
      </c>
      <c r="D33" s="1">
        <v>2.1212801410000002</v>
      </c>
      <c r="E33">
        <f>D33+D37</f>
        <v>3.4855519190000002</v>
      </c>
      <c r="F33">
        <f>D33-D37</f>
        <v>0.75700836300000018</v>
      </c>
      <c r="G33" s="1">
        <v>1.1620316669999999</v>
      </c>
      <c r="H33">
        <f>G33+G37</f>
        <v>1.3705299119999999</v>
      </c>
      <c r="I33">
        <f>G33-G37</f>
        <v>0.95353342199999991</v>
      </c>
      <c r="J33" s="1">
        <v>2.1304501299999998</v>
      </c>
      <c r="K33">
        <f>J33+J37</f>
        <v>2.650782499</v>
      </c>
      <c r="L33">
        <f>J33-J37</f>
        <v>1.6101177609999997</v>
      </c>
      <c r="M33" s="1">
        <v>3.2130772319999998</v>
      </c>
      <c r="N33">
        <f>M33+M37</f>
        <v>5.9831607919999996</v>
      </c>
      <c r="O33">
        <f>M33-M37</f>
        <v>0.44299367200000006</v>
      </c>
      <c r="P33" s="1">
        <v>3.0542014989999999</v>
      </c>
      <c r="Q33">
        <f>P33+P37</f>
        <v>3.8136458529999997</v>
      </c>
      <c r="R33">
        <f>P33-P37</f>
        <v>2.2947571450000002</v>
      </c>
      <c r="S33" s="1">
        <v>1.9159279979999999</v>
      </c>
      <c r="T33">
        <f>S33+S37</f>
        <v>2.2445972139999997</v>
      </c>
      <c r="U33">
        <f>S33-S37</f>
        <v>1.5872587819999999</v>
      </c>
      <c r="V33" s="1">
        <v>0.48832783899999999</v>
      </c>
      <c r="W33">
        <f>V33+V37</f>
        <v>0.68980087899999998</v>
      </c>
      <c r="X33">
        <f>V33-V37</f>
        <v>0.28685479899999999</v>
      </c>
      <c r="Y33" s="1">
        <v>1.760428667</v>
      </c>
      <c r="Z33">
        <f>Y33+Y37</f>
        <v>2.7203728919999999</v>
      </c>
      <c r="AA33">
        <f>Y33-Y37</f>
        <v>0.80048444200000002</v>
      </c>
      <c r="AB33" s="1">
        <v>3.2533673790000002</v>
      </c>
      <c r="AC33">
        <f>AB33+AB37</f>
        <v>5.7100684450000001</v>
      </c>
      <c r="AD33">
        <f>AB33-AB37</f>
        <v>0.79666631300000024</v>
      </c>
      <c r="AE33" s="1">
        <v>2.5762536229999999</v>
      </c>
      <c r="AF33">
        <f>AE33+AE37</f>
        <v>4.4692040620000002</v>
      </c>
      <c r="AG33">
        <f>AE33-AE37</f>
        <v>0.6833031839999999</v>
      </c>
    </row>
    <row r="34" spans="1:34" x14ac:dyDescent="0.35">
      <c r="A34" s="1">
        <v>1.974006653</v>
      </c>
      <c r="B34">
        <f>A34+A38</f>
        <v>2.186659084</v>
      </c>
      <c r="C34">
        <f>A34-A38</f>
        <v>1.761354222</v>
      </c>
      <c r="D34" s="1">
        <v>1.811252356</v>
      </c>
      <c r="E34">
        <f>D34+D38</f>
        <v>2.2857696619999999</v>
      </c>
      <c r="F34">
        <f>D34-D38</f>
        <v>1.3367350499999999</v>
      </c>
      <c r="G34" s="1">
        <v>1.9447498320000001</v>
      </c>
      <c r="H34">
        <f>G34+G38</f>
        <v>2.3883241019999999</v>
      </c>
      <c r="I34">
        <f>G34-G38</f>
        <v>1.501175562</v>
      </c>
      <c r="J34" s="1">
        <v>1.913316011</v>
      </c>
      <c r="K34">
        <f>J34+J38</f>
        <v>2.1492428230000002</v>
      </c>
      <c r="L34">
        <f>J34-J38</f>
        <v>1.6773891990000001</v>
      </c>
      <c r="M34" s="1">
        <v>2.2841310199999998</v>
      </c>
      <c r="N34">
        <f>M34+M38</f>
        <v>3.0691480099999997</v>
      </c>
      <c r="O34">
        <f>M34-M38</f>
        <v>1.4991140299999999</v>
      </c>
      <c r="P34" s="1">
        <v>2.0236039159999999</v>
      </c>
      <c r="Q34">
        <f>P34+P38</f>
        <v>2.292652248</v>
      </c>
      <c r="R34">
        <f>P34-P38</f>
        <v>1.7545555839999998</v>
      </c>
      <c r="S34" s="1">
        <v>1.6374564170000001</v>
      </c>
      <c r="T34">
        <f>S34+S38</f>
        <v>1.881657213</v>
      </c>
      <c r="U34">
        <f>S34-S38</f>
        <v>1.3932556210000002</v>
      </c>
      <c r="V34" s="1">
        <v>1.682586074</v>
      </c>
      <c r="W34">
        <f>V34+V38</f>
        <v>2.488693032</v>
      </c>
      <c r="X34">
        <f>V34-V38</f>
        <v>0.87647911600000006</v>
      </c>
      <c r="Y34" s="1">
        <v>1.9092903139999999</v>
      </c>
      <c r="Z34">
        <f>Y34+Y38</f>
        <v>2.6708229889999999</v>
      </c>
      <c r="AA34">
        <f>Y34-Y38</f>
        <v>1.1477576389999999</v>
      </c>
      <c r="AB34" s="1">
        <v>1.713310361</v>
      </c>
      <c r="AC34">
        <f>AB34+AB38</f>
        <v>2.5241251509999998</v>
      </c>
      <c r="AD34">
        <f>AB34-AB38</f>
        <v>0.902495571</v>
      </c>
      <c r="AE34" s="1">
        <v>3.217041016</v>
      </c>
      <c r="AF34">
        <f>AE34+AE38</f>
        <v>12.736609046</v>
      </c>
      <c r="AG34">
        <f>AE34-AE38</f>
        <v>-6.3025270140000007</v>
      </c>
    </row>
    <row r="35" spans="1:34" x14ac:dyDescent="0.35">
      <c r="A35" s="1">
        <v>7.2369055000000002E-2</v>
      </c>
      <c r="B35" t="str">
        <f>IF(AND(B31&lt;=B2,B31&gt;=C2),"CASE 2",IF(AND(C31&lt;=B2,C31&gt;=C2),"CASE 1",IF(AND(B31&gt;=B2,C31&lt;=C2),"CASE 3",IF(AND(B31&lt;=B2,C31&gt;=C2),"CASE 4",FALSE()))))</f>
        <v>CASE 3</v>
      </c>
      <c r="C35">
        <f>ABS(A31-A$2)</f>
        <v>3.3218619999999532E-2</v>
      </c>
      <c r="D35" s="1">
        <v>0.48433737399999999</v>
      </c>
      <c r="E35" t="str">
        <f>IF(AND(E31&lt;=E2,E31&gt;=F2),"CASE 2",IF(AND(F31&lt;=E2,F31&gt;=F2),"CASE 1",IF(AND(E31&gt;=E2,F31&lt;=F2),"CASE 3",IF(AND(E31&lt;=E2,F31&gt;=F2),"CASE 4",FALSE()))))</f>
        <v>CASE 3</v>
      </c>
      <c r="F35">
        <f>ABS(D31-D$2)</f>
        <v>0.15043187000000025</v>
      </c>
      <c r="G35" s="1">
        <v>9.2064389999999996E-2</v>
      </c>
      <c r="H35" t="str">
        <f>IF(AND(H31&lt;=H2,H31&gt;=I2),"CASE 2",IF(AND(I31&lt;=H2,I31&gt;=I2),"CASE 1",IF(AND(H31&gt;=H2,I31&lt;=I2),"CASE 3",IF(AND(H31&lt;=H2,I31&gt;=I2),"CASE 4",FALSE()))))</f>
        <v>CASE 3</v>
      </c>
      <c r="I35">
        <f>ABS(G31-G$2)</f>
        <v>5.597830000001025E-3</v>
      </c>
      <c r="J35" s="1">
        <v>0.148466978</v>
      </c>
      <c r="K35" t="str">
        <f>IF(AND(K31&lt;=K2,K31&gt;=L2),"CASE 2",IF(AND(L31&lt;=K2,L31&gt;=L2),"CASE 1",IF(AND(K31&gt;=K2,L31&lt;=L2),"CASE 3",IF(AND(K31&lt;=K2,L31&gt;=L2),"CASE 4",FALSE()))))</f>
        <v>CASE 3</v>
      </c>
      <c r="L35">
        <f>ABS(J31-J$2)</f>
        <v>2.0510599999994383E-3</v>
      </c>
      <c r="M35" s="1">
        <v>0.483986109</v>
      </c>
      <c r="N35" t="str">
        <f>IF(AND(N31&lt;=N2,N31&gt;=O2),"CASE 2",IF(AND(O31&lt;=N2,O31&gt;=O2),"CASE 1",IF(AND(N31&gt;=N2,O31&lt;=O2),"CASE 3",IF(AND(N31&lt;=N2,O31&gt;=O2),"CASE 4",FALSE()))))</f>
        <v>CASE 3</v>
      </c>
      <c r="O35">
        <f>ABS(M31-M$2)</f>
        <v>0.25933938999999917</v>
      </c>
      <c r="P35" s="1">
        <v>0.169816999</v>
      </c>
      <c r="Q35" t="str">
        <f>IF(AND(Q31&lt;=Q2,Q31&gt;=R2),"CASE 2",IF(AND(R31&lt;=Q2,R31&gt;=R2),"CASE 1",IF(AND(Q31&gt;=Q2,R31&lt;=R2),"CASE 3",IF(AND(Q31&lt;=Q2,R31&gt;=R2),"CASE 4",FALSE()))))</f>
        <v>CASE 1</v>
      </c>
      <c r="R35">
        <f>ABS(P31-P$2)</f>
        <v>0.13620921999999958</v>
      </c>
      <c r="S35" s="1">
        <v>9.5433844000000004E-2</v>
      </c>
      <c r="T35" t="str">
        <f>IF(AND(T31&lt;=T2,T31&gt;=U2),"CASE 2",IF(AND(U31&lt;=T2,U31&gt;=U2),"CASE 1",IF(AND(T31&gt;=T2,U31&lt;=U2),"CASE 3",IF(AND(T31&lt;=T2,U31&gt;=U2),"CASE 4",FALSE()))))</f>
        <v>CASE 3</v>
      </c>
      <c r="U35">
        <f>ABS(S31-S$2)</f>
        <v>2.5204770000001986E-2</v>
      </c>
      <c r="V35" s="1">
        <v>0.252897292</v>
      </c>
      <c r="W35" t="b">
        <f>IF(AND(W31&lt;=W2,W31&gt;=X2),"CASE 2",IF(AND(X31&lt;=W2,X31&gt;=X2),"CASE 1",IF(AND(W31&gt;=W2,X31&lt;=X2),"CASE 3",IF(AND(W31&lt;=W2,X31&gt;=X2),"CASE 4",FALSE()))))</f>
        <v>0</v>
      </c>
      <c r="X35">
        <f>ABS(V31-V$2)</f>
        <v>0.59783411000000086</v>
      </c>
      <c r="Y35" s="1">
        <v>0.25816350399999999</v>
      </c>
      <c r="Z35" t="str">
        <f>IF(AND(Z31&lt;=Z2,Z31&gt;=AA2),"CASE 2",IF(AND(AA31&lt;=Z2,AA31&gt;=AA2),"CASE 1",IF(AND(Z31&gt;=Z2,AA31&lt;=AA2),"CASE 3",IF(AND(Z31&lt;=Z2,AA31&gt;=AA2),"CASE 4",FALSE()))))</f>
        <v>CASE 3</v>
      </c>
      <c r="AA35">
        <f>ABS(Y31-Y$2)</f>
        <v>9.5789400000008129E-3</v>
      </c>
      <c r="AB35" s="1">
        <v>0.391889245</v>
      </c>
      <c r="AC35" t="str">
        <f>IF(AND(AC31&lt;=AC2,AC31&gt;=AD2),"CASE 2",IF(AND(AD31&lt;=AC2,AD31&gt;=AD2),"CASE 1",IF(AND(AC31&gt;=AC2,AD31&lt;=AD2),"CASE 3",IF(AND(AC31&lt;=AC2,AD31&gt;=AD2),"CASE 4",FALSE()))))</f>
        <v>CASE 3</v>
      </c>
      <c r="AD35">
        <f>ABS(AB31-AB$2)</f>
        <v>5.8576460000001163E-2</v>
      </c>
      <c r="AE35" s="1">
        <v>0.79811430100000003</v>
      </c>
      <c r="AF35" t="str">
        <f>IF(AND(AF31&lt;=AF2,AF31&gt;=AG2),"CASE 2",IF(AND(AG31&lt;=AF2,AG31&gt;=AG2),"CASE 1",IF(AND(AF31&gt;=AF2,AG31&lt;=AG2),"CASE 3",IF(AND(AF31&lt;=AF2,AG31&gt;=AG2),"CASE 4",FALSE()))))</f>
        <v>CASE 1</v>
      </c>
      <c r="AG35">
        <f>ABS(AE31-AE$2)</f>
        <v>0.85842431000000019</v>
      </c>
    </row>
    <row r="36" spans="1:34" x14ac:dyDescent="0.35">
      <c r="A36" s="1">
        <v>0.76084484699999999</v>
      </c>
      <c r="B36" t="str">
        <f>IF(AND(B32&lt;=B3,B32&gt;=C3),"CASE 2",IF(AND(C32&lt;=B3,C32&gt;=C3),"CASE 1",IF(AND(B32&gt;=B3,C32&lt;=C3),"CASE 3",IF(AND(B32&lt;=B3,C32&gt;=C3),"CASE 4",FALSE()))))</f>
        <v>CASE 3</v>
      </c>
      <c r="C36">
        <f>ABS(A32-A$3)</f>
        <v>0.52275240499999986</v>
      </c>
      <c r="D36" s="1">
        <v>1.05176588</v>
      </c>
      <c r="E36" t="str">
        <f>IF(AND(E32&lt;=E3,E32&gt;=F3),"CASE 2",IF(AND(F32&lt;=E3,F32&gt;=F3),"CASE 1",IF(AND(E32&gt;=E3,F32&lt;=F3),"CASE 3",IF(AND(E32&lt;=E3,F32&gt;=F3),"CASE 4",FALSE()))))</f>
        <v>CASE 3</v>
      </c>
      <c r="F36">
        <f>ABS(D32-D$3)</f>
        <v>0.24487616199999973</v>
      </c>
      <c r="G36" s="1">
        <v>0.75264324900000001</v>
      </c>
      <c r="H36" t="str">
        <f>IF(AND(H32&lt;=H3,H32&gt;=I3),"CASE 2",IF(AND(I32&lt;=H3,I32&gt;=I3),"CASE 1",IF(AND(H32&gt;=H3,I32&lt;=I3),"CASE 3",IF(AND(H32&lt;=H3,I32&gt;=I3),"CASE 4",FALSE()))))</f>
        <v>CASE 3</v>
      </c>
      <c r="I36">
        <f>ABS(G32-G$3)</f>
        <v>0.14932691800000075</v>
      </c>
      <c r="J36" s="1">
        <v>0.62006135100000004</v>
      </c>
      <c r="K36" t="str">
        <f>IF(AND(K32&lt;=K3,K32&gt;=L3),"CASE 2",IF(AND(L32&lt;=K3,L32&gt;=L3),"CASE 1",IF(AND(K32&gt;=K3,L32&lt;=L3),"CASE 3",IF(AND(K32&lt;=K3,L32&gt;=L3),"CASE 4",FALSE()))))</f>
        <v>CASE 3</v>
      </c>
      <c r="L36">
        <f>ABS(J32-J$3)</f>
        <v>5.8662900000001628E-3</v>
      </c>
      <c r="M36" s="1">
        <v>2.0462515479999999</v>
      </c>
      <c r="N36" t="str">
        <f>IF(AND(N32&lt;=N3,N32&gt;=O3),"CASE 2",IF(AND(O32&lt;=N3,O32&gt;=O3),"CASE 1",IF(AND(N32&gt;=N3,O32&lt;=O3),"CASE 3",IF(AND(N32&lt;=N3,O32&gt;=O3),"CASE 4",FALSE()))))</f>
        <v>CASE 3</v>
      </c>
      <c r="O36">
        <f>ABS(M32-M$3)</f>
        <v>1.3283558929999999</v>
      </c>
      <c r="P36" s="1">
        <v>0.52082797400000003</v>
      </c>
      <c r="Q36" t="str">
        <f>IF(AND(Q32&lt;=Q3,Q32&gt;=R3),"CASE 2",IF(AND(R32&lt;=Q3,R32&gt;=R3),"CASE 1",IF(AND(Q32&gt;=Q3,R32&lt;=R3),"CASE 3",IF(AND(Q32&lt;=Q3,R32&gt;=R3),"CASE 4",FALSE()))))</f>
        <v>CASE 3</v>
      </c>
      <c r="R36">
        <f>ABS(P32-P$3)</f>
        <v>1.6131639999999337E-2</v>
      </c>
      <c r="S36" s="1">
        <v>0.527501624</v>
      </c>
      <c r="T36" t="str">
        <f>IF(AND(T32&lt;=T3,T32&gt;=U3),"CASE 2",IF(AND(U32&lt;=T3,U32&gt;=U3),"CASE 1",IF(AND(T32&gt;=T3,U32&lt;=U3),"CASE 3",IF(AND(T32&lt;=T3,U32&gt;=U3),"CASE 4",FALSE()))))</f>
        <v>CASE 3</v>
      </c>
      <c r="U36">
        <f>ABS(S32-S$3)</f>
        <v>3.2528222000000273E-2</v>
      </c>
      <c r="V36" s="1">
        <v>1.4455731220000001</v>
      </c>
      <c r="W36" t="str">
        <f>IF(AND(W32&lt;=W3,W32&gt;=X3),"CASE 2",IF(AND(X32&lt;=W3,X32&gt;=X3),"CASE 1",IF(AND(W32&gt;=W3,X32&lt;=X3),"CASE 3",IF(AND(W32&lt;=W3,X32&gt;=X3),"CASE 4",FALSE()))))</f>
        <v>CASE 3</v>
      </c>
      <c r="X36">
        <f>ABS(V32-V$3)</f>
        <v>0.17526933600000039</v>
      </c>
      <c r="Y36" s="1">
        <v>2.0706284560000001</v>
      </c>
      <c r="Z36" t="str">
        <f>IF(AND(Z32&lt;=Z3,Z32&gt;=AA3),"CASE 2",IF(AND(AA32&lt;=Z3,AA32&gt;=AA3),"CASE 1",IF(AND(Z32&gt;=Z3,AA32&lt;=AA3),"CASE 3",IF(AND(Z32&lt;=Z3,AA32&gt;=AA3),"CASE 4",FALSE()))))</f>
        <v>CASE 3</v>
      </c>
      <c r="AA36">
        <f>ABS(Y32-Y$3)</f>
        <v>0.34927429299999968</v>
      </c>
      <c r="AB36" s="1">
        <v>1.5526461030000001</v>
      </c>
      <c r="AC36" t="str">
        <f>IF(AND(AC32&lt;=AC3,AC32&gt;=AD3),"CASE 2",IF(AND(AD32&lt;=AC3,AD32&gt;=AD3),"CASE 1",IF(AND(AC32&gt;=AC3,AD32&lt;=AD3),"CASE 3",IF(AND(AC32&lt;=AC3,AD32&gt;=AD3),"CASE 4",FALSE()))))</f>
        <v>CASE 3</v>
      </c>
      <c r="AD36">
        <f>ABS(AB32-AB$3)</f>
        <v>0.85845583700000017</v>
      </c>
      <c r="AE36" s="1">
        <v>19.47465454</v>
      </c>
      <c r="AF36" t="str">
        <f>IF(AND(AF32&lt;=AF3,AF32&gt;=AG3),"CASE 2",IF(AND(AG32&lt;=AF3,AG32&gt;=AG3),"CASE 1",IF(AND(AF32&gt;=AF3,AG32&lt;=AG3),"CASE 3",IF(AND(AF32&lt;=AF3,AG32&gt;=AG3),"CASE 4",FALSE()))))</f>
        <v>CASE 3</v>
      </c>
      <c r="AG36">
        <f>ABS(AE32-AE$3)</f>
        <v>14.742439032</v>
      </c>
    </row>
    <row r="37" spans="1:34" x14ac:dyDescent="0.35">
      <c r="A37" s="1">
        <v>0.31363044200000001</v>
      </c>
      <c r="B37" t="b">
        <f>IF(AND(B33&lt;=B4,B33&gt;=C4),"CASE 2",IF(AND(C33&lt;=B4,C33&gt;=C4),"CASE 1",IF(AND(B33&gt;=B4,C33&lt;=C4),"CASE 3",IF(AND(B33&lt;=B4,C33&gt;=C4),"CASE 4",FALSE()))))</f>
        <v>0</v>
      </c>
      <c r="C37">
        <f>ABS(A33-A$4)</f>
        <v>0.40002765500000015</v>
      </c>
      <c r="D37" s="1">
        <v>1.364271778</v>
      </c>
      <c r="E37" t="str">
        <f>IF(AND(E33&lt;=E4,E33&gt;=F4),"CASE 2",IF(AND(F33&lt;=E4,F33&gt;=F4),"CASE 1",IF(AND(E33&gt;=E4,F33&lt;=F4),"CASE 3",IF(AND(E33&lt;=E4,F33&gt;=F4),"CASE 4",FALSE()))))</f>
        <v>CASE 3</v>
      </c>
      <c r="F37">
        <f>ABS(D33-D$4)</f>
        <v>0.45153902099999987</v>
      </c>
      <c r="G37" s="1">
        <v>0.208498245</v>
      </c>
      <c r="H37" t="str">
        <f>IF(AND(H33&lt;=H4,H33&gt;=I4),"CASE 2",IF(AND(I33&lt;=H4,I33&gt;=I4),"CASE 1",IF(AND(H33&gt;=H4,I33&lt;=I4),"CASE 3",IF(AND(H33&lt;=H4,I33&gt;=I4),"CASE 4",FALSE()))))</f>
        <v>CASE 3</v>
      </c>
      <c r="I37">
        <f>ABS(G33-G$4)</f>
        <v>5.0814931999999979E-2</v>
      </c>
      <c r="J37" s="1">
        <v>0.52033236900000002</v>
      </c>
      <c r="K37" t="str">
        <f>IF(AND(K33&lt;=K4,K33&gt;=L4),"CASE 2",IF(AND(L33&lt;=K4,L33&gt;=L4),"CASE 1",IF(AND(K33&gt;=K4,L33&lt;=L4),"CASE 3",IF(AND(K33&lt;=K4,L33&gt;=L4),"CASE 4",FALSE()))))</f>
        <v>CASE 3</v>
      </c>
      <c r="L37">
        <f>ABS(J33-J$4)</f>
        <v>4.8182411999999619E-2</v>
      </c>
      <c r="M37" s="1">
        <v>2.7700835599999998</v>
      </c>
      <c r="N37" t="str">
        <f>IF(AND(N33&lt;=N4,N33&gt;=O4),"CASE 2",IF(AND(O33&lt;=N4,O33&gt;=O4),"CASE 1",IF(AND(N33&gt;=N4,O33&lt;=O4),"CASE 3",IF(AND(N33&lt;=N4,O33&gt;=O4),"CASE 4",FALSE()))))</f>
        <v>CASE 3</v>
      </c>
      <c r="O37">
        <f>ABS(M33-M$4)</f>
        <v>1.2262386789999999</v>
      </c>
      <c r="P37" s="1">
        <v>0.75944435399999999</v>
      </c>
      <c r="Q37" t="str">
        <f>IF(AND(Q33&lt;=Q4,Q33&gt;=R4),"CASE 2",IF(AND(R33&lt;=Q4,R33&gt;=R4),"CASE 1",IF(AND(Q33&gt;=Q4,R33&lt;=R4),"CASE 3",IF(AND(Q33&lt;=Q4,R33&gt;=R4),"CASE 4",FALSE()))))</f>
        <v>CASE 3</v>
      </c>
      <c r="R37">
        <f>ABS(P33-P$4)</f>
        <v>0.56864895299999985</v>
      </c>
      <c r="S37" s="1">
        <v>0.32866921599999999</v>
      </c>
      <c r="T37" t="str">
        <f>IF(AND(T33&lt;=T4,T33&gt;=U4),"CASE 2",IF(AND(U33&lt;=T4,U33&gt;=U4),"CASE 1",IF(AND(T33&gt;=T4,U33&lt;=U4),"CASE 3",IF(AND(T33&lt;=T4,U33&gt;=U4),"CASE 4",FALSE()))))</f>
        <v>CASE 3</v>
      </c>
      <c r="U37">
        <f>ABS(S33-S$4)</f>
        <v>9.2064131999999965E-2</v>
      </c>
      <c r="V37" s="1">
        <v>0.20147303999999999</v>
      </c>
      <c r="W37" t="b">
        <f>IF(AND(W33&lt;=W4,W33&gt;=X4),"CASE 2",IF(AND(X33&lt;=W4,X33&gt;=X4),"CASE 1",IF(AND(W33&gt;=W4,X33&lt;=X4),"CASE 3",IF(AND(W33&lt;=W4,X33&gt;=X4),"CASE 4",FALSE()))))</f>
        <v>0</v>
      </c>
      <c r="X37">
        <f>ABS(V33-V$4)</f>
        <v>0.94812604700000003</v>
      </c>
      <c r="Y37" s="1">
        <v>0.95994422499999998</v>
      </c>
      <c r="Z37" t="str">
        <f>IF(AND(Z33&lt;=Z4,Z33&gt;=AA4),"CASE 2",IF(AND(AA33&lt;=Z4,AA33&gt;=AA4),"CASE 1",IF(AND(Z33&gt;=Z4,AA33&lt;=AA4),"CASE 3",IF(AND(Z33&lt;=Z4,AA33&gt;=AA4),"CASE 4",FALSE()))))</f>
        <v>CASE 3</v>
      </c>
      <c r="AA37">
        <f>ABS(Y33-Y$4)</f>
        <v>0.17049533099999992</v>
      </c>
      <c r="AB37" s="1">
        <v>2.4567010659999999</v>
      </c>
      <c r="AC37" t="str">
        <f>IF(AND(AC33&lt;=AC4,AC33&gt;=AD4),"CASE 2",IF(AND(AD33&lt;=AC4,AD33&gt;=AD4),"CASE 1",IF(AND(AC33&gt;=AC4,AD33&lt;=AD4),"CASE 3",IF(AND(AC33&lt;=AC4,AD33&gt;=AD4),"CASE 4",FALSE()))))</f>
        <v>CASE 3</v>
      </c>
      <c r="AD37">
        <f>ABS(AB33-AB$4)</f>
        <v>3.8681540000000236E-2</v>
      </c>
      <c r="AE37" s="1">
        <v>1.892950439</v>
      </c>
      <c r="AF37" t="str">
        <f>IF(AND(AF33&lt;=AF4,AF33&gt;=AG4),"CASE 2",IF(AND(AG33&lt;=AF4,AG33&gt;=AG4),"CASE 1",IF(AND(AF33&gt;=AF4,AG33&lt;=AG4),"CASE 3",IF(AND(AF33&lt;=AF4,AG33&gt;=AG4),"CASE 4",FALSE()))))</f>
        <v>CASE 3</v>
      </c>
      <c r="AG37">
        <f>ABS(AE33-AE$4)</f>
        <v>0.81496410799999985</v>
      </c>
    </row>
    <row r="38" spans="1:34" x14ac:dyDescent="0.35">
      <c r="A38" s="1">
        <v>0.212652431</v>
      </c>
      <c r="B38" t="str">
        <f>IF(AND(B34&lt;=B5,B34&gt;=C5),"CASE 2",IF(AND(C34&lt;=B5,C34&gt;=C5),"CASE 1",IF(AND(B34&gt;=B5,C34&lt;=C5),"CASE 3",IF(AND(B34&lt;=B5,C34&gt;=C5),"CASE 4",FALSE()))))</f>
        <v>CASE 3</v>
      </c>
      <c r="C38">
        <f>ABS(A34-A$5)</f>
        <v>4.4276237999999912E-2</v>
      </c>
      <c r="D38" s="1">
        <v>0.47451730600000003</v>
      </c>
      <c r="E38" t="str">
        <f>IF(AND(E34&lt;=E5,E34&gt;=F5),"CASE 2",IF(AND(F34&lt;=E5,F34&gt;=F5),"CASE 1",IF(AND(E34&gt;=E5,F34&lt;=F5),"CASE 3",IF(AND(E34&lt;=E5,F34&gt;=F5),"CASE 4",FALSE()))))</f>
        <v>CASE 3</v>
      </c>
      <c r="F38">
        <f>ABS(D34-D$5)</f>
        <v>4.4954775999999974E-2</v>
      </c>
      <c r="G38" s="1">
        <v>0.44357426999999999</v>
      </c>
      <c r="H38" t="str">
        <f>IF(AND(H34&lt;=H5,H34&gt;=I5),"CASE 2",IF(AND(I34&lt;=H5,I34&gt;=I5),"CASE 1",IF(AND(H34&gt;=H5,I34&lt;=I5),"CASE 3",IF(AND(H34&lt;=H5,I34&gt;=I5),"CASE 4",FALSE()))))</f>
        <v>CASE 3</v>
      </c>
      <c r="I38">
        <f>ABS(G34-G$5)</f>
        <v>8.5467099999998464E-3</v>
      </c>
      <c r="J38" s="1">
        <v>0.23592681200000001</v>
      </c>
      <c r="K38" t="str">
        <f>IF(AND(K34&lt;=K5,K34&gt;=L5),"CASE 2",IF(AND(L34&lt;=K5,L34&gt;=L5),"CASE 1",IF(AND(K34&gt;=K5,L34&lt;=L5),"CASE 3",IF(AND(K34&lt;=K5,L34&gt;=L5),"CASE 4",FALSE()))))</f>
        <v>CASE 3</v>
      </c>
      <c r="L38">
        <f>ABS(J34-J$5)</f>
        <v>2.6142600000000904E-4</v>
      </c>
      <c r="M38" s="1">
        <v>0.78501699000000003</v>
      </c>
      <c r="N38" t="str">
        <f>IF(AND(N34&lt;=N5,N34&gt;=O5),"CASE 2",IF(AND(O34&lt;=N5,O34&gt;=O5),"CASE 1",IF(AND(N34&gt;=N5,O34&lt;=O5),"CASE 3",IF(AND(N34&lt;=N5,O34&gt;=O5),"CASE 4",FALSE()))))</f>
        <v>CASE 3</v>
      </c>
      <c r="O38">
        <f>ABS(M34-M$5)</f>
        <v>0.28254362899999963</v>
      </c>
      <c r="P38" s="1">
        <v>0.269048332</v>
      </c>
      <c r="Q38" t="str">
        <f>IF(AND(Q34&lt;=Q5,Q34&gt;=R5),"CASE 2",IF(AND(R34&lt;=Q5,R34&gt;=R5),"CASE 1",IF(AND(Q34&gt;=Q5,R34&lt;=R5),"CASE 3",IF(AND(Q34&lt;=Q5,R34&gt;=R5),"CASE 4",FALSE()))))</f>
        <v>CASE 3</v>
      </c>
      <c r="R38">
        <f>ABS(P34-P$5)</f>
        <v>3.6739945999999968E-2</v>
      </c>
      <c r="S38" s="1">
        <v>0.244200796</v>
      </c>
      <c r="T38" t="str">
        <f>IF(AND(T34&lt;=T5,T34&gt;=U5),"CASE 2",IF(AND(U34&lt;=T5,U34&gt;=U5),"CASE 1",IF(AND(T34&gt;=T5,U34&lt;=U5),"CASE 3",IF(AND(T34&lt;=T5,U34&gt;=U5),"CASE 4",FALSE()))))</f>
        <v>CASE 3</v>
      </c>
      <c r="U38">
        <f>ABS(S34-S$5)</f>
        <v>1.1682986999999923E-2</v>
      </c>
      <c r="V38" s="1">
        <v>0.80610695799999998</v>
      </c>
      <c r="W38" t="str">
        <f>IF(AND(W34&lt;=W5,W34&gt;=X5),"CASE 2",IF(AND(X34&lt;=W5,X34&gt;=X5),"CASE 1",IF(AND(W34&gt;=W5,X34&lt;=X5),"CASE 3",IF(AND(W34&lt;=W5,X34&gt;=X5),"CASE 4",FALSE()))))</f>
        <v>CASE 3</v>
      </c>
      <c r="X38">
        <f>ABS(V34-V$5)</f>
        <v>0.29595100899999993</v>
      </c>
      <c r="Y38" s="1">
        <v>0.76153267499999999</v>
      </c>
      <c r="Z38" t="str">
        <f>IF(AND(Z34&lt;=Z5,Z34&gt;=AA5),"CASE 2",IF(AND(AA34&lt;=Z5,AA34&gt;=AA5),"CASE 1",IF(AND(Z34&gt;=Z5,AA34&lt;=AA5),"CASE 3",IF(AND(Z34&lt;=Z5,AA34&gt;=AA5),"CASE 4",FALSE()))))</f>
        <v>CASE 3</v>
      </c>
      <c r="AA38">
        <f>ABS(Y34-Y$5)</f>
        <v>0.14473590299999994</v>
      </c>
      <c r="AB38" s="1">
        <v>0.81081479000000001</v>
      </c>
      <c r="AC38" t="str">
        <f>IF(AND(AC34&lt;=AC5,AC34&gt;=AD5),"CASE 2",IF(AND(AD34&lt;=AC5,AD34&gt;=AD5),"CASE 1",IF(AND(AC34&gt;=AC5,AD34&lt;=AD5),"CASE 3",IF(AND(AC34&lt;=AC5,AD34&gt;=AD5),"CASE 4",FALSE()))))</f>
        <v>CASE 3</v>
      </c>
      <c r="AD38">
        <f>ABS(AB34-AB$5)</f>
        <v>3.236473000000073E-3</v>
      </c>
      <c r="AE38" s="1">
        <v>9.5195680300000003</v>
      </c>
      <c r="AF38" t="str">
        <f>IF(AND(AF34&lt;=AF5,AF34&gt;=AG5),"CASE 2",IF(AND(AG34&lt;=AF5,AG34&gt;=AG5),"CASE 1",IF(AND(AF34&gt;=AF5,AG34&lt;=AG5),"CASE 3",IF(AND(AF34&lt;=AF5,AG34&gt;=AG5),"CASE 4",FALSE()))))</f>
        <v>CASE 3</v>
      </c>
      <c r="AG38">
        <f>ABS(AE34-AE$5)</f>
        <v>1.699686051</v>
      </c>
      <c r="AH38" t="s">
        <v>17</v>
      </c>
    </row>
    <row r="39" spans="1:34" x14ac:dyDescent="0.35">
      <c r="B39" t="s">
        <v>16</v>
      </c>
      <c r="C39">
        <f>SUM(C35:C38)</f>
        <v>1.0002749179999995</v>
      </c>
      <c r="E39" t="s">
        <v>16</v>
      </c>
      <c r="F39">
        <f>SUM(F35:F38)</f>
        <v>0.89180182899999982</v>
      </c>
      <c r="H39" t="s">
        <v>16</v>
      </c>
      <c r="I39">
        <f>SUM(I35:I38)</f>
        <v>0.2142863900000016</v>
      </c>
      <c r="K39" t="s">
        <v>16</v>
      </c>
      <c r="L39">
        <f>SUM(L35:L38)</f>
        <v>5.6361187999999229E-2</v>
      </c>
      <c r="N39" t="s">
        <v>16</v>
      </c>
      <c r="O39">
        <f>SUM(O35:O38)</f>
        <v>3.0964775909999989</v>
      </c>
      <c r="Q39" t="s">
        <v>16</v>
      </c>
      <c r="R39">
        <f>SUM(R35:R38)</f>
        <v>0.75772975899999873</v>
      </c>
      <c r="T39" t="s">
        <v>16</v>
      </c>
      <c r="U39">
        <f>SUM(U35:U38)</f>
        <v>0.16148011100000215</v>
      </c>
      <c r="W39" t="s">
        <v>16</v>
      </c>
      <c r="X39">
        <f>SUM(X35:X38)</f>
        <v>2.0171805020000013</v>
      </c>
      <c r="Z39" t="s">
        <v>16</v>
      </c>
      <c r="AA39">
        <f>SUM(AA35:AA38)</f>
        <v>0.67408446700000035</v>
      </c>
      <c r="AC39" t="s">
        <v>16</v>
      </c>
      <c r="AD39">
        <f>SUM(AD35:AD38)</f>
        <v>0.95895031000000164</v>
      </c>
      <c r="AF39" t="s">
        <v>16</v>
      </c>
      <c r="AG39">
        <f>SUM(AG35:AG38)</f>
        <v>18.115513501000002</v>
      </c>
      <c r="AH39">
        <f>SUM(F35:F38,C35:C38,I35:I38,L35:L38,O35:O38,R35:R38,U35:U38,X35:X38,AA35:AA38,AD35:AD38)</f>
        <v>9.8286270650000027</v>
      </c>
    </row>
    <row r="40" spans="1:34" x14ac:dyDescent="0.35">
      <c r="A40" s="1" t="s">
        <v>21</v>
      </c>
    </row>
    <row r="41" spans="1:34" x14ac:dyDescent="0.35">
      <c r="A41" s="1">
        <v>16.43207073</v>
      </c>
      <c r="B41">
        <f>A41+A45</f>
        <v>16.520500488669999</v>
      </c>
      <c r="C41">
        <f>A41-A45</f>
        <v>16.34364097133</v>
      </c>
      <c r="D41" s="1">
        <v>15.45696497</v>
      </c>
      <c r="E41">
        <f>D41+D45</f>
        <v>15.9500438727</v>
      </c>
      <c r="F41">
        <f>D41-D45</f>
        <v>14.963886067299999</v>
      </c>
      <c r="G41" s="1">
        <v>15.90948081</v>
      </c>
      <c r="H41">
        <f>G41+G45</f>
        <v>16.00502529513</v>
      </c>
      <c r="I41">
        <f>G41-G45</f>
        <v>15.813936324869999</v>
      </c>
      <c r="J41" s="1">
        <v>15.871792320000001</v>
      </c>
      <c r="K41">
        <f>J41+J45</f>
        <v>16.0203166075</v>
      </c>
      <c r="L41">
        <f>J41-J45</f>
        <v>15.7232680325</v>
      </c>
      <c r="M41" s="1">
        <v>15.8119061</v>
      </c>
      <c r="N41">
        <f>M41+M45</f>
        <v>16.2958368382</v>
      </c>
      <c r="O41">
        <f>M41-M45</f>
        <v>15.3279753618</v>
      </c>
      <c r="P41" s="1">
        <v>15.724308069999999</v>
      </c>
      <c r="Q41">
        <f>P41+P45</f>
        <v>15.8927751661</v>
      </c>
      <c r="R41">
        <f>P41-P45</f>
        <v>15.555840973899999</v>
      </c>
      <c r="S41" s="1">
        <v>16.08496225</v>
      </c>
      <c r="T41">
        <f>S41+S45</f>
        <v>16.180545249000001</v>
      </c>
      <c r="U41">
        <f>S41-S45</f>
        <v>15.989379251000001</v>
      </c>
      <c r="V41" s="1">
        <v>14.82395077</v>
      </c>
      <c r="W41">
        <f>V41+V45</f>
        <v>15.0706512635</v>
      </c>
      <c r="X41">
        <f>V41-V45</f>
        <v>14.577250276499999</v>
      </c>
      <c r="Y41" s="1">
        <v>14.78333473</v>
      </c>
      <c r="Z41">
        <f>Y41+Y45</f>
        <v>15.0426574032</v>
      </c>
      <c r="AA41">
        <f>Y41-Y45</f>
        <v>14.5240120568</v>
      </c>
      <c r="AB41" s="1">
        <v>15.014064550000001</v>
      </c>
      <c r="AC41">
        <f>AB41+AB45</f>
        <v>15.405841045300001</v>
      </c>
      <c r="AD41">
        <f>AB41-AB45</f>
        <v>14.6222880547</v>
      </c>
      <c r="AE41" s="1">
        <v>15.994587900000001</v>
      </c>
      <c r="AF41">
        <f>AE41+AE45</f>
        <v>16.792318103300001</v>
      </c>
      <c r="AG41">
        <f>AE41-AE45</f>
        <v>15.1968576967</v>
      </c>
    </row>
    <row r="42" spans="1:34" x14ac:dyDescent="0.35">
      <c r="A42" s="1">
        <v>4.3758046630000003</v>
      </c>
      <c r="B42">
        <f>A42+A46</f>
        <v>5.3648045461000002</v>
      </c>
      <c r="C42">
        <f>A42-A46</f>
        <v>3.3868047799000003</v>
      </c>
      <c r="D42" s="1">
        <v>3.66436553</v>
      </c>
      <c r="E42">
        <f>D42+D46</f>
        <v>4.7310086380000005</v>
      </c>
      <c r="F42">
        <f>D42-D46</f>
        <v>2.5977224219999999</v>
      </c>
      <c r="G42" s="1">
        <v>4.314813107</v>
      </c>
      <c r="H42">
        <f>G42+G46</f>
        <v>5.0638773537999997</v>
      </c>
      <c r="I42">
        <f>G42-G46</f>
        <v>3.5657488601999998</v>
      </c>
      <c r="J42" s="1">
        <v>4.2401317949999999</v>
      </c>
      <c r="K42">
        <f>J42+J46</f>
        <v>4.8664125793000004</v>
      </c>
      <c r="L42">
        <f>J42-J46</f>
        <v>3.6138510106999999</v>
      </c>
      <c r="M42" s="1">
        <v>4.3517668250000003</v>
      </c>
      <c r="N42">
        <f>M42+M46</f>
        <v>6.3986003470000004</v>
      </c>
      <c r="O42">
        <f>M42-M46</f>
        <v>2.3049333030000003</v>
      </c>
      <c r="P42" s="1">
        <v>4.370222032</v>
      </c>
      <c r="Q42">
        <f>P42+P46</f>
        <v>4.8892955966000002</v>
      </c>
      <c r="R42">
        <f>P42-P46</f>
        <v>3.8511484673999998</v>
      </c>
      <c r="S42" s="1">
        <v>3.9733293060000001</v>
      </c>
      <c r="T42">
        <f>S42+S46</f>
        <v>4.5051446863000004</v>
      </c>
      <c r="U42">
        <f>S42-S46</f>
        <v>3.4415139257000003</v>
      </c>
      <c r="V42" s="1">
        <v>4.1681020860000002</v>
      </c>
      <c r="W42">
        <f>V42+V46</f>
        <v>5.5974595430000003</v>
      </c>
      <c r="X42">
        <f>V42-V46</f>
        <v>2.7387446290000002</v>
      </c>
      <c r="Y42" s="1">
        <v>4.4621226790000001</v>
      </c>
      <c r="Z42">
        <f>Y42+Y46</f>
        <v>6.6102690450000008</v>
      </c>
      <c r="AA42">
        <f>Y42-Y46</f>
        <v>2.313976313</v>
      </c>
      <c r="AB42" s="1">
        <v>5.3168513769999999</v>
      </c>
      <c r="AC42">
        <f>AB42+AB46</f>
        <v>6.8690337760000002</v>
      </c>
      <c r="AD42">
        <f>AB42-AB46</f>
        <v>3.7646689779999996</v>
      </c>
      <c r="AE42" s="1">
        <v>20</v>
      </c>
      <c r="AF42">
        <f>AE42+AE46</f>
        <v>40.329168519999996</v>
      </c>
      <c r="AG42">
        <f>AE42-AE46</f>
        <v>-0.32916851999999963</v>
      </c>
    </row>
    <row r="43" spans="1:34" x14ac:dyDescent="0.35">
      <c r="A43" s="1">
        <v>3.2330894539999999</v>
      </c>
      <c r="B43">
        <f>A43+A47</f>
        <v>3.6099227296</v>
      </c>
      <c r="C43">
        <f>A43-A47</f>
        <v>2.8562561783999998</v>
      </c>
      <c r="D43" s="1">
        <v>2.1520342079999999</v>
      </c>
      <c r="E43">
        <f>D43+D47</f>
        <v>3.5554829129999996</v>
      </c>
      <c r="F43">
        <f>D43-D47</f>
        <v>0.74858550299999993</v>
      </c>
      <c r="G43" s="1">
        <v>1.1761884309999999</v>
      </c>
      <c r="H43">
        <f>G43+G47</f>
        <v>1.3944681604</v>
      </c>
      <c r="I43">
        <f>G43-G47</f>
        <v>0.95790870159999986</v>
      </c>
      <c r="J43" s="1">
        <v>2.131048769</v>
      </c>
      <c r="K43">
        <f>J43+J47</f>
        <v>2.6514920811999998</v>
      </c>
      <c r="L43">
        <f>J43-J47</f>
        <v>1.6106054568000001</v>
      </c>
      <c r="M43" s="1">
        <v>3.2137884940000001</v>
      </c>
      <c r="N43">
        <f>M43+M47</f>
        <v>5.9837418659999999</v>
      </c>
      <c r="O43">
        <f>M43-M47</f>
        <v>0.4438351220000003</v>
      </c>
      <c r="P43" s="1">
        <v>3.0372528139999999</v>
      </c>
      <c r="Q43">
        <f>P43+P47</f>
        <v>3.7872755187</v>
      </c>
      <c r="R43">
        <f>P43-P47</f>
        <v>2.2872301092999998</v>
      </c>
      <c r="S43" s="1">
        <v>1.9227878979999999</v>
      </c>
      <c r="T43">
        <f>S43+S47</f>
        <v>2.2530215801</v>
      </c>
      <c r="U43">
        <f>S43-S47</f>
        <v>1.5925542158999999</v>
      </c>
      <c r="V43" s="1">
        <v>0.4916254766</v>
      </c>
      <c r="W43">
        <f>V43+V47</f>
        <v>0.68709079969999998</v>
      </c>
      <c r="X43">
        <f>V43-V47</f>
        <v>0.29616015350000002</v>
      </c>
      <c r="Y43" s="1">
        <v>1.75153479</v>
      </c>
      <c r="Z43">
        <f>Y43+Y47</f>
        <v>2.702380727</v>
      </c>
      <c r="AA43">
        <f>Y43-Y47</f>
        <v>0.80068885300000003</v>
      </c>
      <c r="AB43" s="1">
        <v>3.253309904</v>
      </c>
      <c r="AC43">
        <f>AB43+AB47</f>
        <v>5.7092634819999999</v>
      </c>
      <c r="AD43">
        <f>AB43-AB47</f>
        <v>0.79735632600000006</v>
      </c>
      <c r="AE43" s="1">
        <v>2.5430605260000001</v>
      </c>
      <c r="AF43">
        <f>AE43+AE47</f>
        <v>4.4115865330000004</v>
      </c>
      <c r="AG43">
        <f>AE43-AE47</f>
        <v>0.67453451900000005</v>
      </c>
    </row>
    <row r="44" spans="1:34" x14ac:dyDescent="0.35">
      <c r="A44" s="1">
        <v>1.9330334659999999</v>
      </c>
      <c r="B44">
        <f>A44+A48</f>
        <v>2.1731721463999998</v>
      </c>
      <c r="C44">
        <f>A44-A48</f>
        <v>1.6928947855999998</v>
      </c>
      <c r="D44" s="1">
        <v>1.8122501369999999</v>
      </c>
      <c r="E44">
        <f>D44+D48</f>
        <v>2.2828024338999997</v>
      </c>
      <c r="F44">
        <f>D44-D48</f>
        <v>1.3416978400999999</v>
      </c>
      <c r="G44" s="1">
        <v>1.9653177260000001</v>
      </c>
      <c r="H44">
        <f>G44+G48</f>
        <v>2.4062807113</v>
      </c>
      <c r="I44">
        <f>G44-G48</f>
        <v>1.5243547407000002</v>
      </c>
      <c r="J44" s="1">
        <v>1.9091013670000001</v>
      </c>
      <c r="K44">
        <f>J44+J48</f>
        <v>2.1468827210999999</v>
      </c>
      <c r="L44">
        <f>J44-J48</f>
        <v>1.6713200129000001</v>
      </c>
      <c r="M44" s="1">
        <v>2.2842954400000002</v>
      </c>
      <c r="N44">
        <f>M44+M48</f>
        <v>3.0690158062000004</v>
      </c>
      <c r="O44">
        <f>M44-M48</f>
        <v>1.4995750738000002</v>
      </c>
      <c r="P44" s="1">
        <v>2.0256347360000002</v>
      </c>
      <c r="Q44">
        <f>P44+P48</f>
        <v>2.2938336020000003</v>
      </c>
      <c r="R44">
        <f>P44-P48</f>
        <v>1.7574358700000001</v>
      </c>
      <c r="S44" s="1">
        <v>1.642578471</v>
      </c>
      <c r="T44">
        <f>S44+S48</f>
        <v>1.8883882205</v>
      </c>
      <c r="U44">
        <f>S44-S48</f>
        <v>1.3967687215</v>
      </c>
      <c r="V44" s="1">
        <v>1.6899633409999999</v>
      </c>
      <c r="W44">
        <f>V44+V48</f>
        <v>2.4980237756000001</v>
      </c>
      <c r="X44">
        <f>V44-V48</f>
        <v>0.88190290639999991</v>
      </c>
      <c r="Y44" s="1">
        <v>1.883602142</v>
      </c>
      <c r="Z44">
        <f>Y44+Y48</f>
        <v>2.6690033674000002</v>
      </c>
      <c r="AA44">
        <f>Y44-Y48</f>
        <v>1.0982009166</v>
      </c>
      <c r="AB44" s="1">
        <v>1.7133026119999999</v>
      </c>
      <c r="AC44">
        <f>AB44+AB48</f>
        <v>2.5239111167999999</v>
      </c>
      <c r="AD44">
        <f>AB44-AB48</f>
        <v>0.90269410719999987</v>
      </c>
      <c r="AE44" s="1">
        <v>3.2131652829999999</v>
      </c>
      <c r="AF44">
        <f>AE44+AE48</f>
        <v>13.081415877</v>
      </c>
      <c r="AG44">
        <f>AE44-AE48</f>
        <v>-6.6550853109999988</v>
      </c>
    </row>
    <row r="45" spans="1:34" x14ac:dyDescent="0.35">
      <c r="A45" s="1">
        <v>8.8429758669999997E-2</v>
      </c>
      <c r="B45" t="str">
        <f>IF(AND(B41&lt;=B2,B41&gt;=C2),"CASE 2",IF(AND(C41&lt;=B2,C41&gt;=C2),"CASE 1",IF(AND(B41&gt;=B2,C41&lt;=C2),"CASE 3",IF(AND(B41&lt;=B2,C41&gt;=C2),"CASE 4",FALSE()))))</f>
        <v>CASE 3</v>
      </c>
      <c r="C45">
        <f>ABS(A41-A$2)</f>
        <v>1.4156339999999545E-2</v>
      </c>
      <c r="D45" s="1">
        <v>0.49307890269999999</v>
      </c>
      <c r="E45" t="str">
        <f>IF(AND(E41&lt;=E2,E41&gt;=F2),"CASE 2",IF(AND(F41&lt;=E2,F41&gt;=F2),"CASE 1",IF(AND(E41&gt;=E2,F41&lt;=F2),"CASE 3",IF(AND(E41&lt;=E2,F41&gt;=F2),"CASE 4",FALSE()))))</f>
        <v>CASE 3</v>
      </c>
      <c r="F45">
        <f>ABS(D41-D$2)</f>
        <v>0.14120221000000122</v>
      </c>
      <c r="G45" s="1">
        <v>9.5544485129999995E-2</v>
      </c>
      <c r="H45" t="str">
        <f>IF(AND(H41&lt;=H2,H41&gt;=I2),"CASE 2",IF(AND(I41&lt;=H2,I41&gt;=I2),"CASE 1",IF(AND(H41&gt;=H2,I41&lt;=I2),"CASE 3",IF(AND(H41&lt;=H2,I41&gt;=I2),"CASE 4",FALSE()))))</f>
        <v>CASE 3</v>
      </c>
      <c r="I45">
        <f>ABS(G41-G$2)</f>
        <v>9.8042500000001809E-3</v>
      </c>
      <c r="J45" s="1">
        <v>0.14852428749999999</v>
      </c>
      <c r="K45" t="str">
        <f>IF(AND(K41&lt;=K2,K41&gt;=L2),"CASE 2",IF(AND(L41&lt;=K2,L41&gt;=L2),"CASE 1",IF(AND(K41&gt;=K2,L41&lt;=L2),"CASE 3",IF(AND(K41&lt;=K2,L41&gt;=L2),"CASE 4",FALSE()))))</f>
        <v>CASE 3</v>
      </c>
      <c r="L45">
        <f>ABS(J41-J$2)</f>
        <v>1.3882600000005851E-3</v>
      </c>
      <c r="M45" s="1">
        <v>0.48393073819999999</v>
      </c>
      <c r="N45" t="str">
        <f>IF(AND(N41&lt;=N2,N41&gt;=O2),"CASE 2",IF(AND(O41&lt;=N2,O41&gt;=O2),"CASE 1",IF(AND(N41&gt;=N2,O41&lt;=O2),"CASE 3",IF(AND(N41&lt;=N2,O41&gt;=O2),"CASE 4",FALSE()))))</f>
        <v>CASE 3</v>
      </c>
      <c r="O45">
        <f>ABS(M41-M$2)</f>
        <v>0.25953280999999961</v>
      </c>
      <c r="P45" s="1">
        <v>0.16846709609999999</v>
      </c>
      <c r="Q45" t="str">
        <f>IF(AND(Q41&lt;=Q2,Q41&gt;=R2),"CASE 2",IF(AND(R41&lt;=Q2,R41&gt;=R2),"CASE 1",IF(AND(Q41&gt;=Q2,R41&lt;=R2),"CASE 3",IF(AND(Q41&lt;=Q2,R41&gt;=R2),"CASE 4",FALSE()))))</f>
        <v>CASE 3</v>
      </c>
      <c r="R45">
        <f>ABS(P41-P$2)</f>
        <v>0.13120033999999947</v>
      </c>
      <c r="S45" s="1">
        <v>9.5582999000000002E-2</v>
      </c>
      <c r="T45" t="str">
        <f>IF(AND(T41&lt;=T2,T41&gt;=U2),"CASE 2",IF(AND(U41&lt;=T2,U41&gt;=U2),"CASE 1",IF(AND(T41&gt;=T2,U41&lt;=U2),"CASE 3",IF(AND(T41&lt;=T2,U41&gt;=U2),"CASE 4",FALSE()))))</f>
        <v>CASE 3</v>
      </c>
      <c r="U45">
        <f>ABS(S41-S$2)</f>
        <v>2.4269100000001487E-2</v>
      </c>
      <c r="V45" s="1">
        <v>0.24670049350000001</v>
      </c>
      <c r="W45" t="b">
        <f>IF(AND(W41&lt;=W2,W41&gt;=X2),"CASE 2",IF(AND(X41&lt;=W2,X41&gt;=X2),"CASE 1",IF(AND(W41&gt;=W2,X41&lt;=X2),"CASE 3",IF(AND(W41&lt;=W2,X41&gt;=X2),"CASE 4",FALSE()))))</f>
        <v>0</v>
      </c>
      <c r="X45">
        <f>ABS(V41-V$2)</f>
        <v>0.59934139000000108</v>
      </c>
      <c r="Y45" s="1">
        <v>0.25932267320000002</v>
      </c>
      <c r="Z45" t="str">
        <f>IF(AND(Z41&lt;=Z2,Z41&gt;=AA2),"CASE 2",IF(AND(AA41&lt;=Z2,AA41&gt;=AA2),"CASE 1",IF(AND(Z41&gt;=Z2,AA41&lt;=AA2),"CASE 3",IF(AND(Z41&lt;=Z2,AA41&gt;=AA2),"CASE 4",FALSE()))))</f>
        <v>CASE 3</v>
      </c>
      <c r="AA45">
        <f>ABS(Y41-Y$2)</f>
        <v>5.7737800000001727E-3</v>
      </c>
      <c r="AB45" s="1">
        <v>0.39177649530000003</v>
      </c>
      <c r="AC45" t="str">
        <f>IF(AND(AC41&lt;=AC2,AC41&gt;=AD2),"CASE 2",IF(AND(AD41&lt;=AC2,AD41&gt;=AD2),"CASE 1",IF(AND(AC41&gt;=AC2,AD41&lt;=AD2),"CASE 3",IF(AND(AC41&lt;=AC2,AD41&gt;=AD2),"CASE 4",FALSE()))))</f>
        <v>CASE 3</v>
      </c>
      <c r="AD45">
        <f>ABS(AB41-AB$2)</f>
        <v>5.8576460000001163E-2</v>
      </c>
      <c r="AE45" s="1">
        <v>0.7977302033</v>
      </c>
      <c r="AF45" t="str">
        <f>IF(AND(AF41&lt;=AF2,AF41&gt;=AG2),"CASE 2",IF(AND(AG41&lt;=AF2,AG41&gt;=AG2),"CASE 1",IF(AND(AF41&gt;=AF2,AG41&lt;=AG2),"CASE 3",IF(AND(AF41&lt;=AF2,AG41&gt;=AG2),"CASE 4",FALSE()))))</f>
        <v>CASE 1</v>
      </c>
      <c r="AG45">
        <f>ABS(AE41-AE$2)</f>
        <v>0.84094346000000009</v>
      </c>
    </row>
    <row r="46" spans="1:34" x14ac:dyDescent="0.35">
      <c r="A46" s="1">
        <v>0.98899988309999998</v>
      </c>
      <c r="B46" t="str">
        <f>IF(AND(B42&lt;=B3,B42&gt;=C3),"CASE 2",IF(AND(C42&lt;=B3,C42&gt;=C3),"CASE 1",IF(AND(B42&gt;=B3,C42&lt;=C3),"CASE 3",IF(AND(B42&lt;=B3,C42&gt;=C3),"CASE 4",FALSE()))))</f>
        <v>CASE 3</v>
      </c>
      <c r="C46">
        <f>ABS(A42-A$3)</f>
        <v>0.43584776000000014</v>
      </c>
      <c r="D46" s="1">
        <v>1.0666431080000001</v>
      </c>
      <c r="E46" t="str">
        <f>IF(AND(E42&lt;=E3,E42&gt;=F3),"CASE 2",IF(AND(F42&lt;=E3,F42&gt;=F3),"CASE 1",IF(AND(E42&gt;=E3,F42&lt;=F3),"CASE 3",IF(AND(E42&lt;=E3,F42&gt;=F3),"CASE 4",FALSE()))))</f>
        <v>CASE 3</v>
      </c>
      <c r="F46">
        <f>ABS(D42-D$3)</f>
        <v>0.20513397499999986</v>
      </c>
      <c r="G46" s="1">
        <v>0.74906424680000006</v>
      </c>
      <c r="H46" t="str">
        <f>IF(AND(H42&lt;=H3,H42&gt;=I3),"CASE 2",IF(AND(I42&lt;=H3,I42&gt;=I3),"CASE 1",IF(AND(H42&gt;=H3,I42&lt;=I3),"CASE 3",IF(AND(H42&lt;=H3,I42&gt;=I3),"CASE 4",FALSE()))))</f>
        <v>CASE 3</v>
      </c>
      <c r="I46">
        <f>ABS(G42-G$3)</f>
        <v>0.11803874100000034</v>
      </c>
      <c r="J46" s="1">
        <v>0.6262807843</v>
      </c>
      <c r="K46" t="str">
        <f>IF(AND(K42&lt;=K3,K42&gt;=L3),"CASE 2",IF(AND(L42&lt;=K3,L42&gt;=L3),"CASE 1",IF(AND(K42&gt;=K3,L42&lt;=L3),"CASE 3",IF(AND(K42&lt;=K3,L42&gt;=L3),"CASE 4",FALSE()))))</f>
        <v>CASE 3</v>
      </c>
      <c r="L46">
        <f>ABS(J42-J$3)</f>
        <v>2.0491301999999934E-2</v>
      </c>
      <c r="M46" s="1">
        <v>2.046833522</v>
      </c>
      <c r="N46" t="str">
        <f>IF(AND(N42&lt;=N3,N42&gt;=O3),"CASE 2",IF(AND(O42&lt;=N3,O42&gt;=O3),"CASE 1",IF(AND(N42&gt;=N3,O42&lt;=O3),"CASE 3",IF(AND(N42&lt;=N3,O42&gt;=O3),"CASE 4",FALSE()))))</f>
        <v>CASE 3</v>
      </c>
      <c r="O46">
        <f>ABS(M42-M$3)</f>
        <v>1.3285219520000005</v>
      </c>
      <c r="P46" s="1">
        <v>0.51907356459999998</v>
      </c>
      <c r="Q46" t="str">
        <f>IF(AND(Q42&lt;=Q3,Q42&gt;=R3),"CASE 2",IF(AND(R42&lt;=Q3,R42&gt;=R3),"CASE 1",IF(AND(Q42&gt;=Q3,R42&lt;=R3),"CASE 3",IF(AND(Q42&lt;=Q3,R42&gt;=R3),"CASE 4",FALSE()))))</f>
        <v>CASE 3</v>
      </c>
      <c r="R46">
        <f>ABS(P42-P$3)</f>
        <v>3.2723000000345337E-5</v>
      </c>
      <c r="S46" s="1">
        <v>0.53181538029999997</v>
      </c>
      <c r="T46" t="str">
        <f>IF(AND(T42&lt;=T3,T42&gt;=U3),"CASE 2",IF(AND(U42&lt;=T3,U42&gt;=U3),"CASE 1",IF(AND(T42&gt;=T3,U42&lt;=U3),"CASE 3",IF(AND(T42&lt;=T3,U42&gt;=U3),"CASE 4",FALSE()))))</f>
        <v>CASE 3</v>
      </c>
      <c r="U46">
        <f>ABS(S42-S$3)</f>
        <v>4.8054159000000318E-2</v>
      </c>
      <c r="V46" s="1">
        <v>1.4293574570000001</v>
      </c>
      <c r="W46" t="str">
        <f>IF(AND(W42&lt;=W3,W42&gt;=X3),"CASE 2",IF(AND(X42&lt;=W3,X42&gt;=X3),"CASE 1",IF(AND(W42&gt;=W3,X42&lt;=X3),"CASE 3",IF(AND(W42&lt;=W3,X42&gt;=X3),"CASE 4",FALSE()))))</f>
        <v>CASE 3</v>
      </c>
      <c r="X46">
        <f>ABS(V42-V$3)</f>
        <v>0.20981851200000001</v>
      </c>
      <c r="Y46" s="1">
        <v>2.1481463660000002</v>
      </c>
      <c r="Z46" t="str">
        <f>IF(AND(Z42&lt;=Z3,Z42&gt;=AA3),"CASE 2",IF(AND(AA42&lt;=Z3,AA42&gt;=AA3),"CASE 1",IF(AND(Z42&gt;=Z3,AA42&lt;=AA3),"CASE 3",IF(AND(Z42&lt;=Z3,AA42&gt;=AA3),"CASE 4",FALSE()))))</f>
        <v>CASE 3</v>
      </c>
      <c r="AA46">
        <f>ABS(Y42-Y$3)</f>
        <v>0.42060835699999988</v>
      </c>
      <c r="AB46" s="1">
        <v>1.5521823990000001</v>
      </c>
      <c r="AC46" t="str">
        <f>IF(AND(AC42&lt;=AC3,AC42&gt;=AD3),"CASE 2",IF(AND(AD42&lt;=AC3,AD42&gt;=AD3),"CASE 1",IF(AND(AC42&gt;=AC3,AD42&lt;=AD3),"CASE 3",IF(AND(AC42&lt;=AC3,AD42&gt;=AD3),"CASE 4",FALSE()))))</f>
        <v>CASE 3</v>
      </c>
      <c r="AD46">
        <f>ABS(AB42-AB$3)</f>
        <v>0.85860389399999981</v>
      </c>
      <c r="AE46" s="1">
        <v>20.32916852</v>
      </c>
      <c r="AF46" t="str">
        <f>IF(AND(AF42&lt;=AF3,AF42&gt;=AG3),"CASE 2",IF(AND(AG42&lt;=AF3,AG42&gt;=AG3),"CASE 1",IF(AND(AF42&gt;=AF3,AG42&lt;=AG3),"CASE 3",IF(AND(AF42&lt;=AF3,AG42&gt;=AG3),"CASE 4",FALSE()))))</f>
        <v>CASE 3</v>
      </c>
      <c r="AG46">
        <f>ABS(AE42-AE$3)</f>
        <v>14.742439032</v>
      </c>
    </row>
    <row r="47" spans="1:34" x14ac:dyDescent="0.35">
      <c r="A47" s="1">
        <v>0.37683327560000002</v>
      </c>
      <c r="B47" t="b">
        <f>IF(AND(B43&lt;=B4,B43&gt;=C4),"CASE 2",IF(AND(C43&lt;=B4,C43&gt;=C4),"CASE 1",IF(AND(B43&gt;=B4,C43&lt;=C4),"CASE 3",IF(AND(B43&lt;=B4,C43&gt;=C4),"CASE 4",FALSE()))))</f>
        <v>0</v>
      </c>
      <c r="C47">
        <f>ABS(A43-A$4)</f>
        <v>0.55104105900000011</v>
      </c>
      <c r="D47" s="1">
        <v>1.403448705</v>
      </c>
      <c r="E47" t="str">
        <f>IF(AND(E43&lt;=E4,E43&gt;=F4),"CASE 2",IF(AND(F43&lt;=E4,F43&gt;=F4),"CASE 1",IF(AND(E43&gt;=E4,F43&lt;=F4),"CASE 3",IF(AND(E43&lt;=E4,F43&gt;=F4),"CASE 4",FALSE()))))</f>
        <v>CASE 3</v>
      </c>
      <c r="F47">
        <f>ABS(D43-D$4)</f>
        <v>0.42078495400000016</v>
      </c>
      <c r="G47" s="1">
        <v>0.21827972940000001</v>
      </c>
      <c r="H47" t="str">
        <f>IF(AND(H43&lt;=H4,H43&gt;=I4),"CASE 2",IF(AND(I43&lt;=H4,I43&gt;=I4),"CASE 1",IF(AND(H43&gt;=H4,I43&lt;=I4),"CASE 3",IF(AND(H43&lt;=H4,I43&gt;=I4),"CASE 4",FALSE()))))</f>
        <v>CASE 3</v>
      </c>
      <c r="I47">
        <f>ABS(G43-G$4)</f>
        <v>6.4971695999999968E-2</v>
      </c>
      <c r="J47" s="1">
        <v>0.52044331219999995</v>
      </c>
      <c r="K47" t="str">
        <f>IF(AND(K43&lt;=K4,K43&gt;=L4),"CASE 2",IF(AND(L43&lt;=K4,L43&gt;=L4),"CASE 1",IF(AND(K43&gt;=K4,L43&lt;=L4),"CASE 3",IF(AND(K43&lt;=K4,L43&gt;=L4),"CASE 4",FALSE()))))</f>
        <v>CASE 3</v>
      </c>
      <c r="L47">
        <f>ABS(J43-J$4)</f>
        <v>4.8781050999999742E-2</v>
      </c>
      <c r="M47" s="1">
        <v>2.7699533719999998</v>
      </c>
      <c r="N47" t="str">
        <f>IF(AND(N43&lt;=N4,N43&gt;=O4),"CASE 2",IF(AND(O43&lt;=N4,O43&gt;=O4),"CASE 1",IF(AND(N43&gt;=N4,O43&lt;=O4),"CASE 3",IF(AND(N43&lt;=N4,O43&gt;=O4),"CASE 4",FALSE()))))</f>
        <v>CASE 3</v>
      </c>
      <c r="O47">
        <f>ABS(M43-M$4)</f>
        <v>1.2269499410000002</v>
      </c>
      <c r="P47" s="1">
        <v>0.75002270469999999</v>
      </c>
      <c r="Q47" t="str">
        <f>IF(AND(Q43&lt;=Q4,Q43&gt;=R4),"CASE 2",IF(AND(R43&lt;=Q4,R43&gt;=R4),"CASE 1",IF(AND(Q43&gt;=Q4,R43&lt;=R4),"CASE 3",IF(AND(Q43&lt;=Q4,R43&gt;=R4),"CASE 4",FALSE()))))</f>
        <v>CASE 3</v>
      </c>
      <c r="R47">
        <f>ABS(P43-P$4)</f>
        <v>0.55170026799999983</v>
      </c>
      <c r="S47" s="1">
        <v>0.33023368209999998</v>
      </c>
      <c r="T47" t="str">
        <f>IF(AND(T43&lt;=T4,T43&gt;=U4),"CASE 2",IF(AND(U43&lt;=T4,U43&gt;=U4),"CASE 1",IF(AND(T43&gt;=T4,U43&lt;=U4),"CASE 3",IF(AND(T43&lt;=T4,U43&gt;=U4),"CASE 4",FALSE()))))</f>
        <v>CASE 3</v>
      </c>
      <c r="U47">
        <f>ABS(S43-S$4)</f>
        <v>8.5204231999999935E-2</v>
      </c>
      <c r="V47" s="1">
        <v>0.1954653231</v>
      </c>
      <c r="W47" t="b">
        <f>IF(AND(W43&lt;=W4,W43&gt;=X4),"CASE 2",IF(AND(X43&lt;=W4,X43&gt;=X4),"CASE 1",IF(AND(W43&gt;=W4,X43&lt;=X4),"CASE 3",IF(AND(W43&lt;=W4,X43&gt;=X4),"CASE 4",FALSE()))))</f>
        <v>0</v>
      </c>
      <c r="X47">
        <f>ABS(V43-V$4)</f>
        <v>0.94482840940000001</v>
      </c>
      <c r="Y47" s="1">
        <v>0.95084593699999997</v>
      </c>
      <c r="Z47" t="str">
        <f>IF(AND(Z43&lt;=Z4,Z43&gt;=AA4),"CASE 2",IF(AND(AA43&lt;=Z4,AA43&gt;=AA4),"CASE 1",IF(AND(Z43&gt;=Z4,AA43&lt;=AA4),"CASE 3",IF(AND(Z43&lt;=Z4,AA43&gt;=AA4),"CASE 4",FALSE()))))</f>
        <v>CASE 3</v>
      </c>
      <c r="AA47">
        <f>ABS(Y43-Y$4)</f>
        <v>0.17938920799999991</v>
      </c>
      <c r="AB47" s="1">
        <v>2.4559535779999999</v>
      </c>
      <c r="AC47" t="str">
        <f>IF(AND(AC43&lt;=AC4,AC43&gt;=AD4),"CASE 2",IF(AND(AD43&lt;=AC4,AD43&gt;=AD4),"CASE 1",IF(AND(AC43&gt;=AC4,AD43&lt;=AD4),"CASE 3",IF(AND(AC43&lt;=AC4,AD43&gt;=AD4),"CASE 4",FALSE()))))</f>
        <v>CASE 3</v>
      </c>
      <c r="AD47">
        <f>ABS(AB43-AB$4)</f>
        <v>3.8624065000000041E-2</v>
      </c>
      <c r="AE47" s="1">
        <v>1.868526007</v>
      </c>
      <c r="AF47" t="str">
        <f>IF(AND(AF43&lt;=AF4,AF43&gt;=AG4),"CASE 2",IF(AND(AG43&lt;=AF4,AG43&gt;=AG4),"CASE 1",IF(AND(AF43&gt;=AF4,AG43&lt;=AG4),"CASE 3",IF(AND(AF43&lt;=AF4,AG43&gt;=AG4),"CASE 4",FALSE()))))</f>
        <v>CASE 3</v>
      </c>
      <c r="AG47">
        <f>ABS(AE43-AE$4)</f>
        <v>0.78177101100000002</v>
      </c>
    </row>
    <row r="48" spans="1:34" x14ac:dyDescent="0.35">
      <c r="A48" s="1">
        <v>0.2401386804</v>
      </c>
      <c r="B48" t="str">
        <f>IF(AND(B44&lt;=B5,B44&gt;=C5),"CASE 2",IF(AND(C44&lt;=B5,C44&gt;=C5),"CASE 1",IF(AND(B44&gt;=B5,C44&lt;=C5),"CASE 3",IF(AND(B44&lt;=B5,C44&gt;=C5),"CASE 4",FALSE()))))</f>
        <v>CASE 3</v>
      </c>
      <c r="C48">
        <f>ABS(A44-A$5)</f>
        <v>3.3030509999998348E-3</v>
      </c>
      <c r="D48" s="1">
        <v>0.4705522969</v>
      </c>
      <c r="E48" t="str">
        <f>IF(AND(E44&lt;=E5,E44&gt;=F5),"CASE 2",IF(AND(F44&lt;=E5,F44&gt;=F5),"CASE 1",IF(AND(E44&gt;=E5,F44&lt;=F5),"CASE 3",IF(AND(E44&lt;=E5,F44&gt;=F5),"CASE 4",FALSE()))))</f>
        <v>CASE 3</v>
      </c>
      <c r="F48">
        <f>ABS(D44-D$5)</f>
        <v>4.3956995000000054E-2</v>
      </c>
      <c r="G48" s="1">
        <v>0.4409629853</v>
      </c>
      <c r="H48" t="str">
        <f>IF(AND(H44&lt;=H5,H44&gt;=I5),"CASE 2",IF(AND(I44&lt;=H5,I44&gt;=I5),"CASE 1",IF(AND(H44&gt;=H5,I44&lt;=I5),"CASE 3",IF(AND(H44&lt;=H5,I44&gt;=I5),"CASE 4",FALSE()))))</f>
        <v>CASE 3</v>
      </c>
      <c r="I48">
        <f>ABS(G44-G$5)</f>
        <v>1.2021184000000185E-2</v>
      </c>
      <c r="J48" s="1">
        <v>0.23778135410000001</v>
      </c>
      <c r="K48" t="str">
        <f>IF(AND(K44&lt;=K5,K44&gt;=L5),"CASE 2",IF(AND(L44&lt;=K5,L44&gt;=L5),"CASE 1",IF(AND(K44&gt;=K5,L44&lt;=L5),"CASE 3",IF(AND(K44&lt;=K5,L44&gt;=L5),"CASE 4",FALSE()))))</f>
        <v>CASE 3</v>
      </c>
      <c r="L48">
        <f>ABS(J44-J$5)</f>
        <v>4.4760699999999431E-3</v>
      </c>
      <c r="M48" s="1">
        <v>0.78472036619999996</v>
      </c>
      <c r="N48" t="str">
        <f>IF(AND(N44&lt;=N5,N44&gt;=O5),"CASE 2",IF(AND(O44&lt;=N5,O44&gt;=O5),"CASE 1",IF(AND(N44&gt;=N5,O44&lt;=O5),"CASE 3",IF(AND(N44&lt;=N5,O44&gt;=O5),"CASE 4",FALSE()))))</f>
        <v>CASE 3</v>
      </c>
      <c r="O48">
        <f>ABS(M44-M$5)</f>
        <v>0.28270804900000002</v>
      </c>
      <c r="P48" s="1">
        <v>0.26819886599999998</v>
      </c>
      <c r="Q48" t="str">
        <f>IF(AND(Q44&lt;=Q5,Q44&gt;=R5),"CASE 2",IF(AND(R44&lt;=Q5,R44&gt;=R5),"CASE 1",IF(AND(Q44&gt;=Q5,R44&lt;=R5),"CASE 3",IF(AND(Q44&lt;=Q5,R44&gt;=R5),"CASE 4",FALSE()))))</f>
        <v>CASE 3</v>
      </c>
      <c r="R48">
        <f>ABS(P44-P$5)</f>
        <v>3.4709125999999646E-2</v>
      </c>
      <c r="S48" s="1">
        <v>0.24580974950000001</v>
      </c>
      <c r="T48" t="str">
        <f>IF(AND(T44&lt;=T5,T44&gt;=U5),"CASE 2",IF(AND(U44&lt;=T5,U44&gt;=U5),"CASE 1",IF(AND(T44&gt;=T5,U44&lt;=U5),"CASE 3",IF(AND(T44&lt;=T5,U44&gt;=U5),"CASE 4",FALSE()))))</f>
        <v>CASE 3</v>
      </c>
      <c r="U48">
        <f>ABS(S44-S$5)</f>
        <v>6.5609330000000465E-3</v>
      </c>
      <c r="V48" s="1">
        <v>0.80806043459999999</v>
      </c>
      <c r="W48" t="str">
        <f>IF(AND(W44&lt;=W5,W44&gt;=X5),"CASE 2",IF(AND(X44&lt;=W5,X44&gt;=X5),"CASE 1",IF(AND(W44&gt;=W5,X44&lt;=X5),"CASE 3",IF(AND(W44&lt;=W5,X44&gt;=X5),"CASE 4",FALSE()))))</f>
        <v>CASE 3</v>
      </c>
      <c r="X48">
        <f>ABS(V44-V$5)</f>
        <v>0.28857374200000008</v>
      </c>
      <c r="Y48" s="1">
        <v>0.78540122540000001</v>
      </c>
      <c r="Z48" t="str">
        <f>IF(AND(Z44&lt;=Z5,Z44&gt;=AA5),"CASE 2",IF(AND(AA44&lt;=Z5,AA44&gt;=AA5),"CASE 1",IF(AND(Z44&gt;=Z5,AA44&lt;=AA5),"CASE 3",IF(AND(Z44&lt;=Z5,AA44&gt;=AA5),"CASE 4",FALSE()))))</f>
        <v>CASE 3</v>
      </c>
      <c r="AA48">
        <f>ABS(Y44-Y$5)</f>
        <v>0.11904773099999999</v>
      </c>
      <c r="AB48" s="1">
        <v>0.81060850480000002</v>
      </c>
      <c r="AC48" t="str">
        <f>IF(AND(AC44&lt;=AC5,AC44&gt;=AD5),"CASE 2",IF(AND(AD44&lt;=AC5,AD44&gt;=AD5),"CASE 1",IF(AND(AC44&gt;=AC5,AD44&lt;=AD5),"CASE 3",IF(AND(AC44&lt;=AC5,AD44&gt;=AD5),"CASE 4",FALSE()))))</f>
        <v>CASE 3</v>
      </c>
      <c r="AD48">
        <f>ABS(AB44-AB$5)</f>
        <v>3.2442220000001853E-3</v>
      </c>
      <c r="AE48" s="1">
        <v>9.8682505939999992</v>
      </c>
      <c r="AF48" t="str">
        <f>IF(AND(AF44&lt;=AF5,AF44&gt;=AG5),"CASE 2",IF(AND(AG44&lt;=AF5,AG44&gt;=AG5),"CASE 1",IF(AND(AF44&gt;=AF5,AG44&lt;=AG5),"CASE 3",IF(AND(AF44&lt;=AF5,AG44&gt;=AG5),"CASE 4",FALSE()))))</f>
        <v>CASE 3</v>
      </c>
      <c r="AG48">
        <f>ABS(AE44-AE$5)</f>
        <v>1.6958103179999999</v>
      </c>
      <c r="AH48" t="s">
        <v>17</v>
      </c>
    </row>
    <row r="49" spans="1:34" x14ac:dyDescent="0.35">
      <c r="B49" t="s">
        <v>16</v>
      </c>
      <c r="C49">
        <f>SUM(C45:C48)</f>
        <v>1.0043482099999996</v>
      </c>
      <c r="E49" t="s">
        <v>16</v>
      </c>
      <c r="F49">
        <f>SUM(F45:F48)</f>
        <v>0.81107813400000128</v>
      </c>
      <c r="H49" t="s">
        <v>16</v>
      </c>
      <c r="I49">
        <f>SUM(I45:I48)</f>
        <v>0.20483587100000067</v>
      </c>
      <c r="K49" t="s">
        <v>16</v>
      </c>
      <c r="L49">
        <f>SUM(L45:L48)</f>
        <v>7.5136683000000204E-2</v>
      </c>
      <c r="N49" t="s">
        <v>16</v>
      </c>
      <c r="O49">
        <f>SUM(O45:O48)</f>
        <v>3.0977127520000005</v>
      </c>
      <c r="Q49" t="s">
        <v>16</v>
      </c>
      <c r="R49">
        <f>SUM(R45:R48)</f>
        <v>0.71764245699999929</v>
      </c>
      <c r="T49" t="s">
        <v>16</v>
      </c>
      <c r="U49">
        <f>SUM(U45:U48)</f>
        <v>0.16408842400000179</v>
      </c>
      <c r="W49" t="s">
        <v>16</v>
      </c>
      <c r="X49">
        <f>SUM(X45:X48)</f>
        <v>2.0425620534000011</v>
      </c>
      <c r="Z49" t="s">
        <v>16</v>
      </c>
      <c r="AA49">
        <f>SUM(AA45:AA48)</f>
        <v>0.72481907599999995</v>
      </c>
      <c r="AC49" t="s">
        <v>16</v>
      </c>
      <c r="AD49">
        <f>SUM(AD45:AD48)</f>
        <v>0.9590486410000012</v>
      </c>
      <c r="AF49" t="s">
        <v>16</v>
      </c>
      <c r="AG49">
        <f>SUM(AG45:AG48)</f>
        <v>18.060963821000001</v>
      </c>
      <c r="AH49">
        <f>SUM(F45:F48,C45:C48,I45:I48,L45:L48,O45:O48,R45:R48,U45:U48,X45:X48,AA45:AA48,AD45:AD48)</f>
        <v>9.8012723014000045</v>
      </c>
    </row>
    <row r="50" spans="1:34" x14ac:dyDescent="0.35">
      <c r="A50" s="1" t="s">
        <v>22</v>
      </c>
    </row>
    <row r="51" spans="1:34" x14ac:dyDescent="0.35">
      <c r="A51" s="1">
        <v>16.396186350000001</v>
      </c>
      <c r="B51">
        <f>A51+A55</f>
        <v>16.41726787188</v>
      </c>
      <c r="C51">
        <f>A51-A55</f>
        <v>16.375104828120001</v>
      </c>
      <c r="D51" s="1">
        <v>15.46635783</v>
      </c>
      <c r="E51">
        <f>D51+D55</f>
        <v>15.662252023699999</v>
      </c>
      <c r="F51">
        <f>D51-D55</f>
        <v>15.270463636300001</v>
      </c>
      <c r="G51" s="1">
        <v>15.90564144</v>
      </c>
      <c r="H51">
        <f>G51+G55</f>
        <v>15.943012930170001</v>
      </c>
      <c r="I51">
        <f>G51-G55</f>
        <v>15.868269949829999</v>
      </c>
      <c r="J51" s="1">
        <v>15.910065830000001</v>
      </c>
      <c r="K51">
        <f>J51+J55</f>
        <v>15.96640264234</v>
      </c>
      <c r="L51">
        <f>J51-J55</f>
        <v>15.853729017660001</v>
      </c>
      <c r="M51" s="1">
        <v>15.81004429</v>
      </c>
      <c r="N51">
        <f>M51+M55</f>
        <v>15.9973187124</v>
      </c>
      <c r="O51">
        <f>M51-M55</f>
        <v>15.622769867600001</v>
      </c>
      <c r="P51" s="1">
        <v>15.73239467</v>
      </c>
      <c r="Q51">
        <f>P51+P55</f>
        <v>15.79543377069</v>
      </c>
      <c r="R51">
        <f>P51-P55</f>
        <v>15.66935556931</v>
      </c>
      <c r="S51" s="1">
        <v>16.09637094</v>
      </c>
      <c r="T51">
        <f>S51+S55</f>
        <v>16.136164096070001</v>
      </c>
      <c r="U51">
        <f>S51-S55</f>
        <v>16.056577783929999</v>
      </c>
      <c r="V51" s="1">
        <v>15.4886055</v>
      </c>
      <c r="W51">
        <f>V51+V55</f>
        <v>15.581267276550001</v>
      </c>
      <c r="X51">
        <f>V51-V55</f>
        <v>15.395943723449999</v>
      </c>
      <c r="Y51" s="1">
        <v>14.82047118</v>
      </c>
      <c r="Z51">
        <f>Y51+Y55</f>
        <v>14.9195654681</v>
      </c>
      <c r="AA51">
        <f>Y51-Y55</f>
        <v>14.7213768919</v>
      </c>
      <c r="AB51" s="1">
        <v>15.01187444</v>
      </c>
      <c r="AC51">
        <f>AB51+AB55</f>
        <v>15.1641525253</v>
      </c>
      <c r="AD51">
        <f>AB51-AB55</f>
        <v>14.859596354699999</v>
      </c>
      <c r="AE51" s="1">
        <v>16.107152459999998</v>
      </c>
      <c r="AF51">
        <f>AE51+AE55</f>
        <v>16.398342526299999</v>
      </c>
      <c r="AG51">
        <f>AE51-AE55</f>
        <v>15.815962393699998</v>
      </c>
    </row>
    <row r="52" spans="1:34" x14ac:dyDescent="0.35">
      <c r="A52" s="1">
        <v>3.8582258079999998</v>
      </c>
      <c r="B52">
        <f>A52+A56</f>
        <v>4.0193839535000002</v>
      </c>
      <c r="C52">
        <f>A52-A56</f>
        <v>3.6970676624999999</v>
      </c>
      <c r="D52" s="1">
        <v>3.5903244609999998</v>
      </c>
      <c r="E52">
        <f>D52+D56</f>
        <v>3.9938416123999998</v>
      </c>
      <c r="F52">
        <f>D52-D56</f>
        <v>3.1868073095999998</v>
      </c>
      <c r="G52" s="1">
        <v>4.2917740640000002</v>
      </c>
      <c r="H52">
        <f>G52+G56</f>
        <v>4.5870752348000003</v>
      </c>
      <c r="I52">
        <f>G52-G56</f>
        <v>3.9964728932</v>
      </c>
      <c r="J52" s="1">
        <v>4.2483703200000003</v>
      </c>
      <c r="K52">
        <f>J52+J56</f>
        <v>4.4730351750000006</v>
      </c>
      <c r="L52">
        <f>J52-J56</f>
        <v>4.0237054649999999</v>
      </c>
      <c r="M52" s="1">
        <v>4.3467073440000004</v>
      </c>
      <c r="N52">
        <f>M52+M56</f>
        <v>5.1364835645000007</v>
      </c>
      <c r="O52">
        <f>M52-M56</f>
        <v>3.5569311235000005</v>
      </c>
      <c r="P52" s="1">
        <v>4.6338319779999999</v>
      </c>
      <c r="Q52">
        <f>P52+P56</f>
        <v>4.8423241067999996</v>
      </c>
      <c r="R52">
        <f>P52-P56</f>
        <v>4.4253398492000002</v>
      </c>
      <c r="S52" s="1">
        <v>3.9853460190000001</v>
      </c>
      <c r="T52">
        <f>S52+S56</f>
        <v>4.2029910423999999</v>
      </c>
      <c r="U52">
        <f>S52-S56</f>
        <v>3.7677009956000003</v>
      </c>
      <c r="V52" s="1">
        <v>4.5680142640000003</v>
      </c>
      <c r="W52">
        <f>V52+V56</f>
        <v>5.3326735565000005</v>
      </c>
      <c r="X52">
        <f>V52-V56</f>
        <v>3.8033549715000001</v>
      </c>
      <c r="Y52" s="1">
        <v>4.6418944599999996</v>
      </c>
      <c r="Z52">
        <f>Y52+Y56</f>
        <v>5.5159915125999994</v>
      </c>
      <c r="AA52">
        <f>Y52-Y56</f>
        <v>3.7677974073999998</v>
      </c>
      <c r="AB52" s="1">
        <v>5.3052151199999997</v>
      </c>
      <c r="AC52">
        <f>AB52+AB56</f>
        <v>5.9073138792000002</v>
      </c>
      <c r="AD52">
        <f>AB52-AB56</f>
        <v>4.7031163607999993</v>
      </c>
      <c r="AE52" s="1">
        <v>20</v>
      </c>
      <c r="AF52">
        <f>AE52+AE56</f>
        <v>22.359560977000001</v>
      </c>
      <c r="AG52">
        <f>AE52-AE56</f>
        <v>17.640439022999999</v>
      </c>
    </row>
    <row r="53" spans="1:34" x14ac:dyDescent="0.35">
      <c r="A53" s="1">
        <v>2.6941472649999998</v>
      </c>
      <c r="B53">
        <f>A53+A57</f>
        <v>2.7842662008199999</v>
      </c>
      <c r="C53">
        <f>A53-A57</f>
        <v>2.6040283291799997</v>
      </c>
      <c r="D53" s="1">
        <v>2.1842413660000002</v>
      </c>
      <c r="E53">
        <f>D53+D57</f>
        <v>2.7488860507000004</v>
      </c>
      <c r="F53">
        <f>D53-D57</f>
        <v>1.6195966813000002</v>
      </c>
      <c r="G53" s="1">
        <v>1.1752987429999999</v>
      </c>
      <c r="H53">
        <f>G53+G57</f>
        <v>1.26037501848</v>
      </c>
      <c r="I53">
        <f>G53-G57</f>
        <v>1.0902224675199998</v>
      </c>
      <c r="J53" s="1">
        <v>2.2649652360000001</v>
      </c>
      <c r="K53">
        <f>J53+J57</f>
        <v>2.4745852130000001</v>
      </c>
      <c r="L53">
        <f>J53-J57</f>
        <v>2.0553452590000001</v>
      </c>
      <c r="M53" s="1">
        <v>3.2064326520000002</v>
      </c>
      <c r="N53">
        <f>M53+M57</f>
        <v>4.2775345329999999</v>
      </c>
      <c r="O53">
        <f>M53-M57</f>
        <v>2.1353307710000005</v>
      </c>
      <c r="P53" s="1">
        <v>2.9531110229999999</v>
      </c>
      <c r="Q53">
        <f>P53+P57</f>
        <v>3.2242056199999998</v>
      </c>
      <c r="R53">
        <f>P53-P57</f>
        <v>2.6820164260000001</v>
      </c>
      <c r="S53" s="1">
        <v>2.0361217859999998</v>
      </c>
      <c r="T53">
        <f>S53+S57</f>
        <v>2.1841428001999996</v>
      </c>
      <c r="U53">
        <f>S53-S57</f>
        <v>1.8881007717999998</v>
      </c>
      <c r="V53" s="1">
        <v>1.6815049500000001</v>
      </c>
      <c r="W53">
        <f>V53+V57</f>
        <v>1.9343544972000002</v>
      </c>
      <c r="X53">
        <f>V53-V57</f>
        <v>1.4286554028</v>
      </c>
      <c r="Y53" s="1">
        <v>1.8449637759999999</v>
      </c>
      <c r="Z53">
        <f>Y53+Y57</f>
        <v>2.2387064620000001</v>
      </c>
      <c r="AA53">
        <f>Y53-Y57</f>
        <v>1.45122109</v>
      </c>
      <c r="AB53" s="1">
        <v>3.2424260970000001</v>
      </c>
      <c r="AC53">
        <f>AB53+AB57</f>
        <v>4.193815334</v>
      </c>
      <c r="AD53">
        <f>AB53-AB57</f>
        <v>2.2910368600000002</v>
      </c>
      <c r="AE53" s="1">
        <v>2.7587534339999999</v>
      </c>
      <c r="AF53">
        <f>AE53+AE57</f>
        <v>3.4720131994000001</v>
      </c>
      <c r="AG53">
        <f>AE53-AE57</f>
        <v>2.0454936685999998</v>
      </c>
    </row>
    <row r="54" spans="1:34" x14ac:dyDescent="0.35">
      <c r="A54" s="1">
        <v>1.945098132</v>
      </c>
      <c r="B54">
        <f>A54+A58</f>
        <v>2.0055133597800001</v>
      </c>
      <c r="C54">
        <f>A54-A58</f>
        <v>1.88468290422</v>
      </c>
      <c r="D54" s="1">
        <v>1.820799828</v>
      </c>
      <c r="E54">
        <f>D54+D58</f>
        <v>1.9991299259999999</v>
      </c>
      <c r="F54">
        <f>D54-D58</f>
        <v>1.64246973</v>
      </c>
      <c r="G54" s="1">
        <v>1.9666092690000001</v>
      </c>
      <c r="H54">
        <f>G54+G58</f>
        <v>2.1375295698999999</v>
      </c>
      <c r="I54">
        <f>G54-G58</f>
        <v>1.7956889681000001</v>
      </c>
      <c r="J54" s="1">
        <v>1.9065103379999999</v>
      </c>
      <c r="K54">
        <f>J54+J58</f>
        <v>1.9980849198099999</v>
      </c>
      <c r="L54">
        <f>J54-J58</f>
        <v>1.8149357561899999</v>
      </c>
      <c r="M54" s="1">
        <v>2.2835018630000001</v>
      </c>
      <c r="N54">
        <f>M54+M58</f>
        <v>2.5875297434000002</v>
      </c>
      <c r="O54">
        <f>M54-M58</f>
        <v>1.9794739826000001</v>
      </c>
      <c r="P54" s="1">
        <v>2.097764969</v>
      </c>
      <c r="Q54">
        <f>P54+P58</f>
        <v>2.2019838528999998</v>
      </c>
      <c r="R54">
        <f>P54-P58</f>
        <v>1.9935460851</v>
      </c>
      <c r="S54" s="1">
        <v>1.6573758089999999</v>
      </c>
      <c r="T54">
        <f>S54+S58</f>
        <v>1.75496805228</v>
      </c>
      <c r="U54">
        <f>S54-S58</f>
        <v>1.5597835657199999</v>
      </c>
      <c r="V54" s="1">
        <v>1.99659586</v>
      </c>
      <c r="W54">
        <f>V54+V58</f>
        <v>2.3226727616999998</v>
      </c>
      <c r="X54">
        <f>V54-V58</f>
        <v>1.6705189583</v>
      </c>
      <c r="Y54" s="1">
        <v>1.908144955</v>
      </c>
      <c r="Z54">
        <f>Y54+Y58</f>
        <v>2.2180561571999999</v>
      </c>
      <c r="AA54">
        <f>Y54-Y58</f>
        <v>1.5982337528000001</v>
      </c>
      <c r="AB54" s="1">
        <v>1.7164365049999999</v>
      </c>
      <c r="AC54">
        <f>AB54+AB58</f>
        <v>2.0300399058999998</v>
      </c>
      <c r="AD54">
        <f>AB54-AB58</f>
        <v>1.4028331041</v>
      </c>
      <c r="AE54" s="1">
        <v>2.3514337539999999</v>
      </c>
      <c r="AF54">
        <f>AE54+AE58</f>
        <v>3.9032935899999996</v>
      </c>
      <c r="AG54">
        <f>AE54-AE58</f>
        <v>0.79957391799999988</v>
      </c>
    </row>
    <row r="55" spans="1:34" x14ac:dyDescent="0.35">
      <c r="A55" s="1">
        <v>2.1081521879999999E-2</v>
      </c>
      <c r="B55" t="str">
        <f>IF(AND(B51&lt;=B2,B51&gt;=C2),"CASE 2",IF(AND(C51&lt;=B2,C51&gt;=C2),"CASE 1",IF(AND(B51&gt;=B2,C51&lt;=C2),"CASE 3",IF(AND(B51&lt;=B2,C51&gt;=C2),"CASE 4",FALSE()))))</f>
        <v>CASE 2</v>
      </c>
      <c r="C55">
        <f>ABS(A51-A$2)</f>
        <v>2.1728039999999282E-2</v>
      </c>
      <c r="D55" s="1">
        <v>0.1958941937</v>
      </c>
      <c r="E55" t="str">
        <f>IF(AND(E51&lt;=E2,E51&gt;=F2),"CASE 2",IF(AND(F51&lt;=E2,F51&gt;=F2),"CASE 1",IF(AND(E51&gt;=E2,F51&lt;=F2),"CASE 3",IF(AND(E51&lt;=E2,F51&gt;=F2),"CASE 4",FALSE()))))</f>
        <v>CASE 2</v>
      </c>
      <c r="F55">
        <f>ABS(D51-D$2)</f>
        <v>0.13180935000000105</v>
      </c>
      <c r="G55" s="1">
        <v>3.737149017E-2</v>
      </c>
      <c r="H55" t="str">
        <f>IF(AND(H51&lt;=H2,H51&gt;=I2),"CASE 2",IF(AND(I51&lt;=H2,I51&gt;=I2),"CASE 1",IF(AND(H51&gt;=H2,I51&lt;=I2),"CASE 3",IF(AND(H51&lt;=H2,I51&gt;=I2),"CASE 4",FALSE()))))</f>
        <v>CASE 3</v>
      </c>
      <c r="I55">
        <f>ABS(G51-G$2)</f>
        <v>5.9648800000005053E-3</v>
      </c>
      <c r="J55" s="1">
        <v>5.633681234E-2</v>
      </c>
      <c r="K55" t="str">
        <f>IF(AND(K51&lt;=K2,K51&gt;=L2),"CASE 2",IF(AND(L51&lt;=K2,L51&gt;=L2),"CASE 1",IF(AND(K51&gt;=K2,L51&lt;=L2),"CASE 3",IF(AND(K51&lt;=K2,L51&gt;=L2),"CASE 4",FALSE()))))</f>
        <v>CASE 1</v>
      </c>
      <c r="L55">
        <f>ABS(J51-J$2)</f>
        <v>3.9661770000000374E-2</v>
      </c>
      <c r="M55" s="1">
        <v>0.1872744224</v>
      </c>
      <c r="N55" t="b">
        <f>IF(AND(N51&lt;=N2,N51&gt;=O2),"CASE 2",IF(AND(O51&lt;=N2,O51&gt;=O2),"CASE 1",IF(AND(N51&gt;=N2,O51&lt;=O2),"CASE 3",IF(AND(N51&lt;=N2,O51&gt;=O2),"CASE 4",FALSE()))))</f>
        <v>0</v>
      </c>
      <c r="O55">
        <f>ABS(M51-M$2)</f>
        <v>0.25767100000000021</v>
      </c>
      <c r="P55" s="1">
        <v>6.3039100690000002E-2</v>
      </c>
      <c r="Q55" t="b">
        <f>IF(AND(Q51&lt;=Q2,Q51&gt;=R2),"CASE 2",IF(AND(R51&lt;=Q2,R51&gt;=R2),"CASE 1",IF(AND(Q51&gt;=Q2,R51&lt;=R2),"CASE 3",IF(AND(Q51&lt;=Q2,R51&gt;=R2),"CASE 4",FALSE()))))</f>
        <v>0</v>
      </c>
      <c r="R55">
        <f>ABS(P51-P$2)</f>
        <v>0.13928693999999986</v>
      </c>
      <c r="S55" s="1">
        <v>3.9793156070000002E-2</v>
      </c>
      <c r="T55" t="str">
        <f>IF(AND(T51&lt;=T2,T51&gt;=U2),"CASE 2",IF(AND(U51&lt;=T2,U51&gt;=U2),"CASE 1",IF(AND(T51&gt;=T2,U51&lt;=U2),"CASE 3",IF(AND(T51&lt;=T2,U51&gt;=U2),"CASE 4",FALSE()))))</f>
        <v>CASE 3</v>
      </c>
      <c r="U55">
        <f>ABS(S51-S$2)</f>
        <v>1.2860410000001821E-2</v>
      </c>
      <c r="V55" s="1">
        <v>9.2661776550000005E-2</v>
      </c>
      <c r="W55" t="str">
        <f>IF(AND(W51&lt;=W2,W51&gt;=X2),"CASE 2",IF(AND(X51&lt;=W2,X51&gt;=X2),"CASE 1",IF(AND(W51&gt;=W2,X51&lt;=X2),"CASE 3",IF(AND(W51&lt;=W2,X51&gt;=X2),"CASE 4",FALSE()))))</f>
        <v>CASE 1</v>
      </c>
      <c r="X55">
        <f>ABS(V51-V$2)</f>
        <v>6.5313339999999442E-2</v>
      </c>
      <c r="Y55" s="1">
        <v>9.9094288099999997E-2</v>
      </c>
      <c r="Z55" t="str">
        <f>IF(AND(Z51&lt;=Z2,Z51&gt;=AA2),"CASE 2",IF(AND(AA51&lt;=Z2,AA51&gt;=AA2),"CASE 1",IF(AND(Z51&gt;=Z2,AA51&lt;=AA2),"CASE 3",IF(AND(Z51&lt;=Z2,AA51&gt;=AA2),"CASE 4",FALSE()))))</f>
        <v>CASE 3</v>
      </c>
      <c r="AA55">
        <f>ABS(Y51-Y$2)</f>
        <v>3.1362670000000037E-2</v>
      </c>
      <c r="AB55" s="1">
        <v>0.1522780853</v>
      </c>
      <c r="AC55" t="str">
        <f>IF(AND(AC51&lt;=AC2,AC51&gt;=AD2),"CASE 2",IF(AND(AD51&lt;=AC2,AD51&gt;=AD2),"CASE 1",IF(AND(AC51&gt;=AC2,AD51&lt;=AD2),"CASE 3",IF(AND(AC51&lt;=AC2,AD51&gt;=AD2),"CASE 4",FALSE()))))</f>
        <v>CASE 1</v>
      </c>
      <c r="AD55">
        <f>ABS(AB51-AB$2)</f>
        <v>5.6386350000000363E-2</v>
      </c>
      <c r="AE55" s="1">
        <v>0.29119006629999999</v>
      </c>
      <c r="AF55" t="b">
        <f>IF(AND(AF51&lt;=AF2,AF51&gt;=AG2),"CASE 2",IF(AND(AG51&lt;=AF2,AG51&gt;=AG2),"CASE 1",IF(AND(AF51&gt;=AF2,AG51&lt;=AG2),"CASE 3",IF(AND(AF51&lt;=AF2,AG51&gt;=AG2),"CASE 4",FALSE()))))</f>
        <v>0</v>
      </c>
      <c r="AG55">
        <f>ABS(AE51-AE$2)</f>
        <v>0.95350801999999746</v>
      </c>
    </row>
    <row r="56" spans="1:34" x14ac:dyDescent="0.35">
      <c r="A56" s="1">
        <v>0.16115814549999999</v>
      </c>
      <c r="B56" t="str">
        <f>IF(AND(B52&lt;=B3,B52&gt;=C3),"CASE 2",IF(AND(C52&lt;=B3,C52&gt;=C3),"CASE 1",IF(AND(B52&gt;=B3,C52&lt;=C3),"CASE 3",IF(AND(B52&lt;=B3,C52&gt;=C3),"CASE 4",FALSE()))))</f>
        <v>CASE 2</v>
      </c>
      <c r="C56">
        <f>ABS(A52-A$3)</f>
        <v>8.1731095000000309E-2</v>
      </c>
      <c r="D56" s="1">
        <v>0.4035171514</v>
      </c>
      <c r="E56" t="str">
        <f>IF(AND(E52&lt;=E3,E52&gt;=F3),"CASE 2",IF(AND(F52&lt;=E3,F52&gt;=F3),"CASE 1",IF(AND(E52&gt;=E3,F52&lt;=F3),"CASE 3",IF(AND(E52&lt;=E3,F52&gt;=F3),"CASE 4",FALSE()))))</f>
        <v>CASE 3</v>
      </c>
      <c r="F56">
        <f>ABS(D52-D$3)</f>
        <v>0.13109290599999968</v>
      </c>
      <c r="G56" s="1">
        <v>0.29530117080000001</v>
      </c>
      <c r="H56" t="str">
        <f>IF(AND(H52&lt;=H3,H52&gt;=I3),"CASE 2",IF(AND(I52&lt;=H3,I52&gt;=I3),"CASE 1",IF(AND(H52&gt;=H3,I52&lt;=I3),"CASE 3",IF(AND(H52&lt;=H3,I52&gt;=I3),"CASE 4",FALSE()))))</f>
        <v>CASE 3</v>
      </c>
      <c r="I56">
        <f>ABS(G52-G$3)</f>
        <v>9.4999698000000521E-2</v>
      </c>
      <c r="J56" s="1">
        <v>0.224664855</v>
      </c>
      <c r="K56" t="str">
        <f>IF(AND(K52&lt;=K3,K52&gt;=L3),"CASE 2",IF(AND(L52&lt;=K3,L52&gt;=L3),"CASE 1",IF(AND(K52&gt;=K3,L52&lt;=L3),"CASE 3",IF(AND(K52&lt;=K3,L52&gt;=L3),"CASE 4",FALSE()))))</f>
        <v>CASE 3</v>
      </c>
      <c r="L56">
        <f>ABS(J52-J$3)</f>
        <v>2.8729827000000263E-2</v>
      </c>
      <c r="M56" s="1">
        <v>0.78977622049999996</v>
      </c>
      <c r="N56" t="b">
        <f>IF(AND(N52&lt;=N3,N52&gt;=O3),"CASE 2",IF(AND(O52&lt;=N3,O52&gt;=O3),"CASE 1",IF(AND(N52&gt;=N3,O52&lt;=O3),"CASE 3",IF(AND(N52&lt;=N3,O52&gt;=O3),"CASE 4",FALSE()))))</f>
        <v>0</v>
      </c>
      <c r="O56">
        <f>ABS(M52-M$3)</f>
        <v>1.3234624710000005</v>
      </c>
      <c r="P56" s="1">
        <v>0.20849212880000001</v>
      </c>
      <c r="Q56" t="str">
        <f>IF(AND(Q52&lt;=Q3,Q52&gt;=R3),"CASE 2",IF(AND(R52&lt;=Q3,R52&gt;=R3),"CASE 1",IF(AND(Q52&gt;=Q3,R52&lt;=R3),"CASE 3",IF(AND(Q52&lt;=Q3,R52&gt;=R3),"CASE 4",FALSE()))))</f>
        <v>CASE 1</v>
      </c>
      <c r="R56">
        <f>ABS(P52-P$3)</f>
        <v>0.26357722299999953</v>
      </c>
      <c r="S56" s="1">
        <v>0.2176450234</v>
      </c>
      <c r="T56" t="str">
        <f>IF(AND(T52&lt;=T3,T52&gt;=U3),"CASE 2",IF(AND(U52&lt;=T3,U52&gt;=U3),"CASE 1",IF(AND(T52&gt;=T3,U52&lt;=U3),"CASE 3",IF(AND(T52&lt;=T3,U52&gt;=U3),"CASE 4",FALSE()))))</f>
        <v>CASE 3</v>
      </c>
      <c r="U56">
        <f>ABS(S52-S$3)</f>
        <v>6.0070872000000275E-2</v>
      </c>
      <c r="V56" s="1">
        <v>0.76465929249999998</v>
      </c>
      <c r="W56" t="str">
        <f>IF(AND(W52&lt;=W3,W52&gt;=X3),"CASE 2",IF(AND(X52&lt;=W3,X52&gt;=X3),"CASE 1",IF(AND(W52&gt;=W3,X52&lt;=X3),"CASE 3",IF(AND(W52&lt;=W3,X52&gt;=X3),"CASE 4",FALSE()))))</f>
        <v>CASE 3</v>
      </c>
      <c r="X56">
        <f>ABS(V52-V$3)</f>
        <v>0.19009366600000011</v>
      </c>
      <c r="Y56" s="1">
        <v>0.87409705260000004</v>
      </c>
      <c r="Z56" t="str">
        <f>IF(AND(Z52&lt;=Z3,Z52&gt;=AA3),"CASE 2",IF(AND(AA52&lt;=Z3,AA52&gt;=AA3),"CASE 1",IF(AND(Z52&gt;=Z3,AA52&lt;=AA3),"CASE 3",IF(AND(Z52&lt;=Z3,AA52&gt;=AA3),"CASE 4",FALSE()))))</f>
        <v>CASE 1</v>
      </c>
      <c r="AA56">
        <f>ABS(Y52-Y$3)</f>
        <v>0.60038013799999934</v>
      </c>
      <c r="AB56" s="1">
        <v>0.6020987592</v>
      </c>
      <c r="AC56" t="str">
        <f>IF(AND(AC52&lt;=AC3,AC52&gt;=AD3),"CASE 2",IF(AND(AD52&lt;=AC3,AD52&gt;=AD3),"CASE 1",IF(AND(AC52&gt;=AC3,AD52&lt;=AD3),"CASE 3",IF(AND(AC52&lt;=AC3,AD52&gt;=AD3),"CASE 4",FALSE()))))</f>
        <v>CASE 1</v>
      </c>
      <c r="AD56">
        <f>ABS(AB52-AB$3)</f>
        <v>0.84696763699999966</v>
      </c>
      <c r="AE56" s="1">
        <v>2.3595609770000001</v>
      </c>
      <c r="AF56" t="b">
        <f>IF(AND(AF52&lt;=AF3,AF52&gt;=AG3),"CASE 2",IF(AND(AG52&lt;=AF3,AG52&gt;=AG3),"CASE 1",IF(AND(AF52&gt;=AF3,AG52&lt;=AG3),"CASE 3",IF(AND(AF52&lt;=AF3,AG52&gt;=AG3),"CASE 4",FALSE()))))</f>
        <v>0</v>
      </c>
      <c r="AG56">
        <f>ABS(AE52-AE$3)</f>
        <v>14.742439032</v>
      </c>
    </row>
    <row r="57" spans="1:34" x14ac:dyDescent="0.35">
      <c r="A57" s="1">
        <v>9.0118935819999996E-2</v>
      </c>
      <c r="B57" t="str">
        <f>IF(AND(B53&lt;=B4,B53&gt;=C4),"CASE 2",IF(AND(C53&lt;=B4,C53&gt;=C4),"CASE 1",IF(AND(B53&gt;=B4,C53&lt;=C4),"CASE 3",IF(AND(B53&lt;=B4,C53&gt;=C4),"CASE 4",FALSE()))))</f>
        <v>CASE 3</v>
      </c>
      <c r="C57">
        <f>ABS(A53-A$4)</f>
        <v>1.2098869999999984E-2</v>
      </c>
      <c r="D57" s="1">
        <v>0.56464468469999995</v>
      </c>
      <c r="E57" t="str">
        <f>IF(AND(E53&lt;=E4,E53&gt;=F4),"CASE 2",IF(AND(F53&lt;=E4,F53&gt;=F4),"CASE 1",IF(AND(E53&gt;=E4,F53&lt;=F4),"CASE 3",IF(AND(E53&lt;=E4,F53&gt;=F4),"CASE 4",FALSE()))))</f>
        <v>CASE 2</v>
      </c>
      <c r="F57">
        <f>ABS(D53-D$4)</f>
        <v>0.38857779599999986</v>
      </c>
      <c r="G57" s="1">
        <v>8.5076275480000005E-2</v>
      </c>
      <c r="H57" t="str">
        <f>IF(AND(H53&lt;=H4,H53&gt;=I4),"CASE 2",IF(AND(I53&lt;=H4,I53&gt;=I4),"CASE 1",IF(AND(H53&gt;=H4,I53&lt;=I4),"CASE 3",IF(AND(H53&lt;=H4,I53&gt;=I4),"CASE 4",FALSE()))))</f>
        <v>CASE 1</v>
      </c>
      <c r="I57">
        <f>ABS(G53-G$4)</f>
        <v>6.4082007999999968E-2</v>
      </c>
      <c r="J57" s="1">
        <v>0.20961997700000001</v>
      </c>
      <c r="K57" t="str">
        <f>IF(AND(K53&lt;=K4,K53&gt;=L4),"CASE 2",IF(AND(L53&lt;=K4,L53&gt;=L4),"CASE 1",IF(AND(K53&gt;=K4,L53&lt;=L4),"CASE 3",IF(AND(K53&lt;=K4,L53&gt;=L4),"CASE 4",FALSE()))))</f>
        <v>CASE 1</v>
      </c>
      <c r="L57">
        <f>ABS(J53-J$4)</f>
        <v>0.18269751799999989</v>
      </c>
      <c r="M57" s="1">
        <v>1.0711018809999999</v>
      </c>
      <c r="N57" t="str">
        <f>IF(AND(N53&lt;=N4,N53&gt;=O4),"CASE 2",IF(AND(O53&lt;=N4,O53&gt;=O4),"CASE 1",IF(AND(N53&gt;=N4,O53&lt;=O4),"CASE 3",IF(AND(N53&lt;=N4,O53&gt;=O4),"CASE 4",FALSE()))))</f>
        <v>CASE 1</v>
      </c>
      <c r="O57">
        <f>ABS(M53-M$4)</f>
        <v>1.2195940990000003</v>
      </c>
      <c r="P57" s="1">
        <v>0.27109459699999999</v>
      </c>
      <c r="Q57" t="b">
        <f>IF(AND(Q53&lt;=Q4,Q53&gt;=R4),"CASE 2",IF(AND(R53&lt;=Q4,R53&gt;=R4),"CASE 1",IF(AND(Q53&gt;=Q4,R53&lt;=R4),"CASE 3",IF(AND(Q53&lt;=Q4,R53&gt;=R4),"CASE 4",FALSE()))))</f>
        <v>0</v>
      </c>
      <c r="R57">
        <f>ABS(P53-P$4)</f>
        <v>0.46755847699999986</v>
      </c>
      <c r="S57" s="1">
        <v>0.1480210142</v>
      </c>
      <c r="T57" t="str">
        <f>IF(AND(T53&lt;=T4,T53&gt;=U4),"CASE 2",IF(AND(U53&lt;=T4,U53&gt;=U4),"CASE 1",IF(AND(T53&gt;=T4,U53&lt;=U4),"CASE 3",IF(AND(T53&lt;=T4,U53&gt;=U4),"CASE 4",FALSE()))))</f>
        <v>CASE 3</v>
      </c>
      <c r="U57">
        <f>ABS(S53-S$4)</f>
        <v>2.8129655999999947E-2</v>
      </c>
      <c r="V57" s="1">
        <v>0.25284954720000002</v>
      </c>
      <c r="W57" t="str">
        <f>IF(AND(W53&lt;=W4,W53&gt;=X4),"CASE 2",IF(AND(X53&lt;=W4,X53&gt;=X4),"CASE 1",IF(AND(W53&gt;=W4,X53&lt;=X4),"CASE 3",IF(AND(W53&lt;=W4,X53&gt;=X4),"CASE 4",FALSE()))))</f>
        <v>CASE 1</v>
      </c>
      <c r="X57">
        <f>ABS(V53-V$4)</f>
        <v>0.2450510640000001</v>
      </c>
      <c r="Y57" s="1">
        <v>0.39374268600000001</v>
      </c>
      <c r="Z57" t="str">
        <f>IF(AND(Z53&lt;=Z4,Z53&gt;=AA4),"CASE 2",IF(AND(AA53&lt;=Z4,AA53&gt;=AA4),"CASE 1",IF(AND(Z53&gt;=Z4,AA53&lt;=AA4),"CASE 3",IF(AND(Z53&lt;=Z4,AA53&gt;=AA4),"CASE 4",FALSE()))))</f>
        <v>CASE 3</v>
      </c>
      <c r="AA57">
        <f>ABS(Y53-Y$4)</f>
        <v>8.5960221999999975E-2</v>
      </c>
      <c r="AB57" s="1">
        <v>0.951389237</v>
      </c>
      <c r="AC57" t="str">
        <f>IF(AND(AC53&lt;=AC4,AC53&gt;=AD4),"CASE 2",IF(AND(AD53&lt;=AC4,AD53&gt;=AD4),"CASE 1",IF(AND(AC53&gt;=AC4,AD53&lt;=AD4),"CASE 3",IF(AND(AC53&lt;=AC4,AD53&gt;=AD4),"CASE 4",FALSE()))))</f>
        <v>CASE 3</v>
      </c>
      <c r="AD57">
        <f>ABS(AB53-AB$4)</f>
        <v>2.7740258000000129E-2</v>
      </c>
      <c r="AE57" s="1">
        <v>0.71325976540000002</v>
      </c>
      <c r="AF57" t="str">
        <f>IF(AND(AF53&lt;=AF4,AF53&gt;=AG4),"CASE 2",IF(AND(AG53&lt;=AF4,AG53&gt;=AG4),"CASE 1",IF(AND(AF53&gt;=AF4,AG53&lt;=AG4),"CASE 3",IF(AND(AF53&lt;=AF4,AG53&gt;=AG4),"CASE 4",FALSE()))))</f>
        <v>CASE 1</v>
      </c>
      <c r="AG57">
        <f>ABS(AE53-AE$4)</f>
        <v>0.99746391899999987</v>
      </c>
    </row>
    <row r="58" spans="1:34" x14ac:dyDescent="0.35">
      <c r="A58" s="1">
        <v>6.0415227779999997E-2</v>
      </c>
      <c r="B58" t="str">
        <f>IF(AND(B54&lt;=B5,B54&gt;=C5),"CASE 2",IF(AND(C54&lt;=B5,C54&gt;=C5),"CASE 1",IF(AND(B54&gt;=B5,C54&lt;=C5),"CASE 3",IF(AND(B54&lt;=B5,C54&gt;=C5),"CASE 4",FALSE()))))</f>
        <v>CASE 3</v>
      </c>
      <c r="C58">
        <f>ABS(A54-A$5)</f>
        <v>1.5367716999999947E-2</v>
      </c>
      <c r="D58" s="1">
        <v>0.17833009799999999</v>
      </c>
      <c r="E58" t="str">
        <f>IF(AND(E54&lt;=E5,E54&gt;=F5),"CASE 2",IF(AND(F54&lt;=E5,F54&gt;=F5),"CASE 1",IF(AND(E54&gt;=E5,F54&lt;=F5),"CASE 3",IF(AND(E54&lt;=E5,F54&gt;=F5),"CASE 4",FALSE()))))</f>
        <v>CASE 3</v>
      </c>
      <c r="F58">
        <f>ABS(D54-D$5)</f>
        <v>3.5407304000000028E-2</v>
      </c>
      <c r="G58" s="1">
        <v>0.17092030089999999</v>
      </c>
      <c r="H58" t="str">
        <f>IF(AND(H54&lt;=H5,H54&gt;=I5),"CASE 2",IF(AND(I54&lt;=H5,I54&gt;=I5),"CASE 1",IF(AND(H54&gt;=H5,I54&lt;=I5),"CASE 3",IF(AND(H54&lt;=H5,I54&gt;=I5),"CASE 4",FALSE()))))</f>
        <v>CASE 3</v>
      </c>
      <c r="I58">
        <f>ABS(G54-G$5)</f>
        <v>1.3312727000000191E-2</v>
      </c>
      <c r="J58" s="1">
        <v>9.157458181E-2</v>
      </c>
      <c r="K58" t="str">
        <f>IF(AND(K54&lt;=K5,K54&gt;=L5),"CASE 2",IF(AND(L54&lt;=K5,L54&gt;=L5),"CASE 1",IF(AND(K54&gt;=K5,L54&lt;=L5),"CASE 3",IF(AND(K54&lt;=K5,L54&gt;=L5),"CASE 4",FALSE()))))</f>
        <v>CASE 3</v>
      </c>
      <c r="L58">
        <f>ABS(J54-J$5)</f>
        <v>7.0670990000001321E-3</v>
      </c>
      <c r="M58" s="1">
        <v>0.30402788040000001</v>
      </c>
      <c r="N58" t="str">
        <f>IF(AND(N54&lt;=N5,N54&gt;=O5),"CASE 2",IF(AND(O54&lt;=N5,O54&gt;=O5),"CASE 1",IF(AND(N54&gt;=N5,O54&lt;=O5),"CASE 3",IF(AND(N54&lt;=N5,O54&gt;=O5),"CASE 4",FALSE()))))</f>
        <v>CASE 1</v>
      </c>
      <c r="O58">
        <f>ABS(M54-M$5)</f>
        <v>0.28191447199999997</v>
      </c>
      <c r="P58" s="1">
        <v>0.1042188839</v>
      </c>
      <c r="Q58" t="str">
        <f>IF(AND(Q54&lt;=Q5,Q54&gt;=R5),"CASE 2",IF(AND(R54&lt;=Q5,R54&gt;=R5),"CASE 1",IF(AND(Q54&gt;=Q5,R54&lt;=R5),"CASE 3",IF(AND(Q54&lt;=Q5,R54&gt;=R5),"CASE 4",FALSE()))))</f>
        <v>CASE 3</v>
      </c>
      <c r="R58">
        <f>ABS(P54-P$5)</f>
        <v>3.742110700000012E-2</v>
      </c>
      <c r="S58" s="1">
        <v>9.7592243280000004E-2</v>
      </c>
      <c r="T58" t="str">
        <f>IF(AND(T54&lt;=T5,T54&gt;=U5),"CASE 2",IF(AND(U54&lt;=T5,U54&gt;=U5),"CASE 1",IF(AND(T54&gt;=T5,U54&lt;=U5),"CASE 3",IF(AND(T54&lt;=T5,U54&gt;=U5),"CASE 4",FALSE()))))</f>
        <v>CASE 3</v>
      </c>
      <c r="U58">
        <f>ABS(S54-S$5)</f>
        <v>8.2364049999998912E-3</v>
      </c>
      <c r="V58" s="1">
        <v>0.32607690169999998</v>
      </c>
      <c r="W58" t="str">
        <f>IF(AND(W54&lt;=W5,W54&gt;=X5),"CASE 2",IF(AND(X54&lt;=W5,X54&gt;=X5),"CASE 1",IF(AND(W54&gt;=W5,X54&lt;=X5),"CASE 3",IF(AND(W54&lt;=W5,X54&gt;=X5),"CASE 4",FALSE()))))</f>
        <v>CASE 3</v>
      </c>
      <c r="X58">
        <f>ABS(V54-V$5)</f>
        <v>1.8058777000000026E-2</v>
      </c>
      <c r="Y58" s="1">
        <v>0.30991120220000001</v>
      </c>
      <c r="Z58" t="str">
        <f>IF(AND(Z54&lt;=Z5,Z54&gt;=AA5),"CASE 2",IF(AND(AA54&lt;=Z5,AA54&gt;=AA5),"CASE 1",IF(AND(Z54&gt;=Z5,AA54&lt;=AA5),"CASE 3",IF(AND(Z54&lt;=Z5,AA54&gt;=AA5),"CASE 4",FALSE()))))</f>
        <v>CASE 3</v>
      </c>
      <c r="AA58">
        <f>ABS(Y54-Y$5)</f>
        <v>0.14359054400000004</v>
      </c>
      <c r="AB58" s="1">
        <v>0.3136034009</v>
      </c>
      <c r="AC58" t="str">
        <f>IF(AND(AC54&lt;=AC5,AC54&gt;=AD5),"CASE 2",IF(AND(AD54&lt;=AC5,AD54&gt;=AD5),"CASE 1",IF(AND(AC54&gt;=AC5,AD54&lt;=AD5),"CASE 3",IF(AND(AC54&lt;=AC5,AD54&gt;=AD5),"CASE 4",FALSE()))))</f>
        <v>CASE 3</v>
      </c>
      <c r="AD58">
        <f>ABS(AB54-AB$5)</f>
        <v>1.1032900000018664E-4</v>
      </c>
      <c r="AE58" s="1">
        <v>1.551859836</v>
      </c>
      <c r="AF58" t="str">
        <f>IF(AND(AF54&lt;=AF5,AF54&gt;=AG5),"CASE 2",IF(AND(AG54&lt;=AF5,AG54&gt;=AG5),"CASE 1",IF(AND(AF54&gt;=AF5,AG54&lt;=AG5),"CASE 3",IF(AND(AF54&lt;=AF5,AG54&gt;=AG5),"CASE 4",FALSE()))))</f>
        <v>CASE 3</v>
      </c>
      <c r="AG58">
        <f>ABS(AE54-AE$5)</f>
        <v>0.83407878899999988</v>
      </c>
      <c r="AH58" t="s">
        <v>17</v>
      </c>
    </row>
    <row r="59" spans="1:34" ht="15" thickBot="1" x14ac:dyDescent="0.4">
      <c r="B59" t="s">
        <v>16</v>
      </c>
      <c r="C59">
        <f>SUM(C55:C58)</f>
        <v>0.13092572199999952</v>
      </c>
      <c r="E59" t="s">
        <v>16</v>
      </c>
      <c r="F59">
        <f>SUM(F55:F58)</f>
        <v>0.68688735600000062</v>
      </c>
      <c r="H59" t="s">
        <v>16</v>
      </c>
      <c r="I59">
        <f>SUM(I55:I58)</f>
        <v>0.17835931300000119</v>
      </c>
      <c r="K59" t="s">
        <v>16</v>
      </c>
      <c r="L59">
        <f>SUM(L55:L58)</f>
        <v>0.25815621400000066</v>
      </c>
      <c r="N59" t="s">
        <v>16</v>
      </c>
      <c r="O59">
        <f>SUM(O55:O58)</f>
        <v>3.0826420420000011</v>
      </c>
      <c r="Q59" t="s">
        <v>16</v>
      </c>
      <c r="R59">
        <f>SUM(R55:R58)</f>
        <v>0.90784374699999937</v>
      </c>
      <c r="T59" t="s">
        <v>16</v>
      </c>
      <c r="U59">
        <f>SUM(U55:U58)</f>
        <v>0.10929734300000193</v>
      </c>
      <c r="W59" t="s">
        <v>16</v>
      </c>
      <c r="X59">
        <f>SUM(X55:X58)</f>
        <v>0.51851684699999967</v>
      </c>
      <c r="Z59" t="s">
        <v>16</v>
      </c>
      <c r="AA59">
        <f>SUM(AA55:AA58)</f>
        <v>0.8612935739999994</v>
      </c>
      <c r="AC59" t="s">
        <v>16</v>
      </c>
      <c r="AD59">
        <f>SUM(AD55:AD58)</f>
        <v>0.93120457400000034</v>
      </c>
      <c r="AF59" t="s">
        <v>16</v>
      </c>
      <c r="AG59">
        <f>SUM(AG55:AG58)</f>
        <v>17.527489759999998</v>
      </c>
      <c r="AH59">
        <f>SUM(F55:F58,C55:C58,I55:I58,L55:L58,O55:O58,R55:R58,U55:U58,X55:X58,AA55:AA58,AD55:AD58)</f>
        <v>7.6651267320000045</v>
      </c>
    </row>
    <row r="60" spans="1:34" s="3" customFormat="1" x14ac:dyDescent="0.35">
      <c r="A60" s="2" t="s">
        <v>23</v>
      </c>
      <c r="D60" s="4"/>
      <c r="G60" s="4"/>
      <c r="J60" s="4"/>
      <c r="M60" s="4"/>
      <c r="P60" s="4"/>
      <c r="S60" s="4"/>
      <c r="V60" s="4"/>
      <c r="Y60" s="4"/>
      <c r="AB60" s="4"/>
      <c r="AE60" s="4"/>
    </row>
    <row r="61" spans="1:34" s="6" customFormat="1" x14ac:dyDescent="0.35">
      <c r="A61" s="5">
        <v>16.396166919999999</v>
      </c>
      <c r="B61" s="6">
        <f>A61+A65</f>
        <v>16.417246816999999</v>
      </c>
      <c r="C61" s="6">
        <f>A61-A65</f>
        <v>16.375087022999999</v>
      </c>
      <c r="D61" s="7">
        <v>15.46618387</v>
      </c>
      <c r="E61" s="6">
        <f>D61+D65</f>
        <v>15.662031579000001</v>
      </c>
      <c r="F61" s="6">
        <f>D61-D65</f>
        <v>15.270336160999999</v>
      </c>
      <c r="G61" s="7">
        <v>15.90562832</v>
      </c>
      <c r="H61" s="6">
        <f>G61+G65</f>
        <v>15.94299702</v>
      </c>
      <c r="I61" s="6">
        <f>G61-G65</f>
        <v>15.86825962</v>
      </c>
      <c r="J61" s="7">
        <v>15.909973920000001</v>
      </c>
      <c r="K61" s="6">
        <f>J61+J65</f>
        <v>15.966304134000001</v>
      </c>
      <c r="L61" s="6">
        <f>J61-J65</f>
        <v>15.853643706</v>
      </c>
      <c r="M61" s="7">
        <v>15.80995345</v>
      </c>
      <c r="N61" s="6">
        <f>M61+M65</f>
        <v>15.997189507</v>
      </c>
      <c r="O61" s="6">
        <f>M61-M65</f>
        <v>15.622717393</v>
      </c>
      <c r="P61" s="7">
        <v>15.736701010000001</v>
      </c>
      <c r="Q61" s="6">
        <f>P61+P65</f>
        <v>15.800312826000001</v>
      </c>
      <c r="R61" s="6">
        <f>P61-P65</f>
        <v>15.673089194000001</v>
      </c>
      <c r="S61" s="7">
        <v>16.096555949999999</v>
      </c>
      <c r="T61" s="6">
        <f>S61+S65</f>
        <v>16.136417319</v>
      </c>
      <c r="U61" s="6">
        <f>S61-S65</f>
        <v>16.056694580999999</v>
      </c>
      <c r="V61" s="7">
        <v>15.488479610000001</v>
      </c>
      <c r="W61" s="6">
        <f>V61+V65</f>
        <v>15.581159622000001</v>
      </c>
      <c r="X61" s="6">
        <f>V61-V65</f>
        <v>15.395799598</v>
      </c>
      <c r="Y61" s="7">
        <v>14.82018173</v>
      </c>
      <c r="Z61" s="6">
        <f>Y61+Y65</f>
        <v>14.919299052</v>
      </c>
      <c r="AA61" s="6">
        <f>Y61-Y65</f>
        <v>14.721064408</v>
      </c>
      <c r="AB61" s="7">
        <v>15.01187193</v>
      </c>
      <c r="AC61" s="6">
        <f>AB61+AB65</f>
        <v>15.164136244</v>
      </c>
      <c r="AD61" s="6">
        <f>AB61-AB65</f>
        <v>14.859607616</v>
      </c>
      <c r="AE61" s="7">
        <v>16.113565439999999</v>
      </c>
      <c r="AF61" s="6">
        <f>AE61+AE65</f>
        <v>16.408129489</v>
      </c>
      <c r="AG61" s="6">
        <f>AE61-AE65</f>
        <v>15.819001390999999</v>
      </c>
    </row>
    <row r="62" spans="1:34" s="6" customFormat="1" x14ac:dyDescent="0.35">
      <c r="A62" s="5">
        <v>3.85798949</v>
      </c>
      <c r="B62" s="6">
        <f>A62+A66</f>
        <v>4.0191378550000003</v>
      </c>
      <c r="C62" s="6">
        <f>A62-A66</f>
        <v>3.6968411250000002</v>
      </c>
      <c r="D62" s="7">
        <v>3.5903131660000001</v>
      </c>
      <c r="E62" s="6">
        <f>D62+D66</f>
        <v>3.9937993500000002</v>
      </c>
      <c r="F62" s="6">
        <f>D62-D66</f>
        <v>3.1868269819999999</v>
      </c>
      <c r="G62" s="7">
        <v>4.2916950839999997</v>
      </c>
      <c r="H62" s="6">
        <f>G62+G66</f>
        <v>4.5869718529999997</v>
      </c>
      <c r="I62" s="6">
        <f>G62-G66</f>
        <v>3.9964183149999997</v>
      </c>
      <c r="J62" s="7">
        <v>4.2482120989999999</v>
      </c>
      <c r="K62" s="6">
        <f>J62+J66</f>
        <v>4.472885529</v>
      </c>
      <c r="L62" s="6">
        <f>J62-J66</f>
        <v>4.0235386689999997</v>
      </c>
      <c r="M62" s="7">
        <v>4.3465264440000002</v>
      </c>
      <c r="N62" s="6">
        <f>M62+M66</f>
        <v>5.1362997020000005</v>
      </c>
      <c r="O62" s="6">
        <f>M62-M66</f>
        <v>3.5567531860000003</v>
      </c>
      <c r="P62" s="7">
        <v>4.6389659639999996</v>
      </c>
      <c r="Q62" s="6">
        <f>P62+P66</f>
        <v>4.8480843139999994</v>
      </c>
      <c r="R62" s="6">
        <f>P62-P66</f>
        <v>4.4298476139999998</v>
      </c>
      <c r="S62" s="7">
        <v>3.9841957090000002</v>
      </c>
      <c r="T62" s="6">
        <f>S62+S66</f>
        <v>4.2017032590000003</v>
      </c>
      <c r="U62" s="6">
        <f>S62-S66</f>
        <v>3.7666881590000001</v>
      </c>
      <c r="V62" s="7">
        <v>4.5675706859999998</v>
      </c>
      <c r="W62" s="6">
        <f>V62+V66</f>
        <v>5.3323273889999996</v>
      </c>
      <c r="X62" s="6">
        <f>V62-V66</f>
        <v>3.8028139830000001</v>
      </c>
      <c r="Y62" s="7">
        <v>4.6404452919999999</v>
      </c>
      <c r="Z62" s="6">
        <f>Y62+Y66</f>
        <v>5.5149825119999996</v>
      </c>
      <c r="AA62" s="6">
        <f>Y62-Y66</f>
        <v>3.7659080719999998</v>
      </c>
      <c r="AB62" s="7">
        <v>5.3051288129999996</v>
      </c>
      <c r="AC62" s="6">
        <f>AB62+AB66</f>
        <v>5.907168682</v>
      </c>
      <c r="AD62" s="6">
        <f>AB62-AB66</f>
        <v>4.7030889439999992</v>
      </c>
      <c r="AE62" s="7">
        <v>20</v>
      </c>
      <c r="AF62" s="6">
        <f>AE62+AE66</f>
        <v>22.358027907</v>
      </c>
      <c r="AG62" s="6">
        <f>AE62-AE66</f>
        <v>17.641972093</v>
      </c>
    </row>
    <row r="63" spans="1:34" s="6" customFormat="1" x14ac:dyDescent="0.35">
      <c r="A63" s="5">
        <v>2.6941380800000001</v>
      </c>
      <c r="B63" s="6">
        <f>A63+A67</f>
        <v>2.784253106</v>
      </c>
      <c r="C63" s="6">
        <f>A63-A67</f>
        <v>2.6040230540000002</v>
      </c>
      <c r="D63" s="7">
        <v>2.1837614699999999</v>
      </c>
      <c r="E63" s="6">
        <f>D63+D67</f>
        <v>2.7481888539999999</v>
      </c>
      <c r="F63" s="6">
        <f>D63-D67</f>
        <v>1.6193340859999998</v>
      </c>
      <c r="G63" s="7">
        <v>1.175295312</v>
      </c>
      <c r="H63" s="6">
        <f>G63+G67</f>
        <v>1.260364144</v>
      </c>
      <c r="I63" s="6">
        <f>G63-G67</f>
        <v>1.0902264800000001</v>
      </c>
      <c r="J63" s="7">
        <v>2.2646670040000001</v>
      </c>
      <c r="K63" s="6">
        <f>J63+J67</f>
        <v>2.4742328140000001</v>
      </c>
      <c r="L63" s="6">
        <f>J63-J67</f>
        <v>2.0551011940000001</v>
      </c>
      <c r="M63" s="7">
        <v>3.2060751839999999</v>
      </c>
      <c r="N63" s="6">
        <f>M63+M67</f>
        <v>4.2769163069999996</v>
      </c>
      <c r="O63" s="6">
        <f>M63-M67</f>
        <v>2.1352340610000002</v>
      </c>
      <c r="P63" s="7">
        <v>2.96978718</v>
      </c>
      <c r="Q63" s="6">
        <f>P63+P67</f>
        <v>3.2446851790000002</v>
      </c>
      <c r="R63" s="6">
        <f>P63-P67</f>
        <v>2.6948891809999997</v>
      </c>
      <c r="S63" s="7">
        <v>2.0369315559999999</v>
      </c>
      <c r="T63" s="6">
        <f>S63+S67</f>
        <v>2.1854435149999998</v>
      </c>
      <c r="U63" s="6">
        <f>S63-S67</f>
        <v>1.8884195969999999</v>
      </c>
      <c r="V63" s="7">
        <v>1.6812383769999999</v>
      </c>
      <c r="W63" s="6">
        <f>V63+V67</f>
        <v>1.934088606</v>
      </c>
      <c r="X63" s="6">
        <f>V63-V67</f>
        <v>1.4283881479999998</v>
      </c>
      <c r="Y63" s="7">
        <v>1.8445551019999999</v>
      </c>
      <c r="Z63" s="6">
        <f>Y63+Y67</f>
        <v>2.2382341189999999</v>
      </c>
      <c r="AA63" s="6">
        <f>Y63-Y67</f>
        <v>1.450876085</v>
      </c>
      <c r="AB63" s="7">
        <v>3.242440797</v>
      </c>
      <c r="AC63" s="6">
        <f>AB63+AB67</f>
        <v>4.1937492409999999</v>
      </c>
      <c r="AD63" s="6">
        <f>AB63-AB67</f>
        <v>2.2911323530000001</v>
      </c>
      <c r="AE63" s="7">
        <v>2.773642298</v>
      </c>
      <c r="AF63" s="6">
        <f>AE63+AE67</f>
        <v>3.4997853029999999</v>
      </c>
      <c r="AG63" s="6">
        <f>AE63-AE67</f>
        <v>2.047499293</v>
      </c>
    </row>
    <row r="64" spans="1:34" s="6" customFormat="1" x14ac:dyDescent="0.35">
      <c r="A64" s="5">
        <v>1.9451231959999999</v>
      </c>
      <c r="B64" s="6">
        <f>A64+A68</f>
        <v>2.0055314879999999</v>
      </c>
      <c r="C64" s="6">
        <f>A64-A68</f>
        <v>1.884714904</v>
      </c>
      <c r="D64" s="7">
        <v>1.8207697869999999</v>
      </c>
      <c r="E64" s="6">
        <f>D64+D68</f>
        <v>1.9990908599999999</v>
      </c>
      <c r="F64" s="6">
        <f>D64-D68</f>
        <v>1.6424487139999999</v>
      </c>
      <c r="G64" s="7">
        <v>1.9666156770000001</v>
      </c>
      <c r="H64" s="6">
        <f>G64+G68</f>
        <v>2.1375193139999999</v>
      </c>
      <c r="I64" s="6">
        <f>G64-G68</f>
        <v>1.7957120400000002</v>
      </c>
      <c r="J64" s="7">
        <v>1.9064954220000001</v>
      </c>
      <c r="K64" s="6">
        <f>J64+J68</f>
        <v>1.9980603190000001</v>
      </c>
      <c r="L64" s="6">
        <f>J64-J68</f>
        <v>1.8149305250000001</v>
      </c>
      <c r="M64" s="7">
        <v>2.2833659650000002</v>
      </c>
      <c r="N64" s="6">
        <f>M64+M68</f>
        <v>2.5873414650000002</v>
      </c>
      <c r="O64" s="6">
        <f>M64-M68</f>
        <v>1.9793904650000003</v>
      </c>
      <c r="P64" s="7">
        <v>2.100519303</v>
      </c>
      <c r="Q64" s="6">
        <f>P64+P68</f>
        <v>2.2050368379999998</v>
      </c>
      <c r="R64" s="6">
        <f>P64-P68</f>
        <v>1.996001768</v>
      </c>
      <c r="S64" s="7">
        <v>1.6567015650000001</v>
      </c>
      <c r="T64" s="6">
        <f>S64+S68</f>
        <v>1.75425436</v>
      </c>
      <c r="U64" s="6">
        <f>S64-S68</f>
        <v>1.5591487700000002</v>
      </c>
      <c r="V64" s="7">
        <v>1.9966778759999999</v>
      </c>
      <c r="W64" s="6">
        <f>V64+V68</f>
        <v>2.3227278509999998</v>
      </c>
      <c r="X64" s="6">
        <f>V64-V68</f>
        <v>1.670627901</v>
      </c>
      <c r="Y64" s="7">
        <v>1.9077277180000001</v>
      </c>
      <c r="Z64" s="6">
        <f>Y64+Y68</f>
        <v>2.2176321909999999</v>
      </c>
      <c r="AA64" s="6">
        <f>Y64-Y68</f>
        <v>1.5978232450000001</v>
      </c>
      <c r="AB64" s="7">
        <v>1.7164297100000001</v>
      </c>
      <c r="AC64" s="6">
        <f>AB64+AB68</f>
        <v>2.0300015419999999</v>
      </c>
      <c r="AD64" s="6">
        <f>AB64-AB68</f>
        <v>1.4028578780000001</v>
      </c>
      <c r="AE64" s="7">
        <v>2.3435764309999998</v>
      </c>
      <c r="AF64" s="6">
        <f>AE64+AE68</f>
        <v>3.8998005729999998</v>
      </c>
      <c r="AG64" s="6">
        <f>AE64-AE68</f>
        <v>0.78735228899999976</v>
      </c>
    </row>
    <row r="65" spans="1:34" s="6" customFormat="1" x14ac:dyDescent="0.35">
      <c r="A65" s="5">
        <v>2.1079897E-2</v>
      </c>
      <c r="B65" s="6" t="str">
        <f>IF(AND(B61&lt;=B2,B61&gt;=C2),"CASE 2",IF(AND(C61&lt;=B2,C61&gt;=C2),"CASE 1",IF(AND(B61&gt;=B2,C61&lt;=C2),"CASE 3",IF(AND(B61&lt;=B2,C61&gt;=C2),"CASE 4",FALSE()))))</f>
        <v>CASE 2</v>
      </c>
      <c r="C65" s="6">
        <f>ABS(A61-A$2)</f>
        <v>2.1747470000001101E-2</v>
      </c>
      <c r="D65" s="7">
        <v>0.19584770900000001</v>
      </c>
      <c r="E65" s="6" t="str">
        <f>IF(AND(E61&lt;=E2,E61&gt;=F2),"CASE 2",IF(AND(F61&lt;=E2,F61&gt;=F2),"CASE 1",IF(AND(E61&gt;=E2,F61&lt;=F2),"CASE 3",IF(AND(E61&lt;=E2,F61&gt;=F2),"CASE 4",FALSE()))))</f>
        <v>CASE 2</v>
      </c>
      <c r="F65" s="6">
        <f>ABS(D61-D$2)</f>
        <v>0.13198331000000074</v>
      </c>
      <c r="G65" s="7">
        <v>3.7368699999999998E-2</v>
      </c>
      <c r="H65" s="6" t="str">
        <f>IF(AND(H61&lt;=H2,H61&gt;=I2),"CASE 2",IF(AND(I61&lt;=H2,I61&gt;=I2),"CASE 1",IF(AND(H61&gt;=H2,I61&lt;=I2),"CASE 3",IF(AND(H61&lt;=H2,I61&gt;=I2),"CASE 4",FALSE()))))</f>
        <v>CASE 3</v>
      </c>
      <c r="I65" s="6">
        <f>ABS(G61-G$2)</f>
        <v>5.9517600000003057E-3</v>
      </c>
      <c r="J65" s="7">
        <v>5.6330214000000003E-2</v>
      </c>
      <c r="K65" s="6" t="str">
        <f>IF(AND(K61&lt;=K2,K61&gt;=L2),"CASE 2",IF(AND(L61&lt;=K2,L61&gt;=L2),"CASE 1",IF(AND(K61&gt;=K2,L61&lt;=L2),"CASE 3",IF(AND(K61&lt;=K2,L61&gt;=L2),"CASE 4",FALSE()))))</f>
        <v>CASE 1</v>
      </c>
      <c r="L65" s="6">
        <f>ABS(J61-J$2)</f>
        <v>3.956986000000029E-2</v>
      </c>
      <c r="M65" s="7">
        <v>0.18723605700000001</v>
      </c>
      <c r="N65" s="6" t="b">
        <f>IF(AND(N61&lt;=N2,N61&gt;=O2),"CASE 2",IF(AND(O61&lt;=N2,O61&gt;=O2),"CASE 1",IF(AND(N61&gt;=N2,O61&lt;=O2),"CASE 3",IF(AND(N61&lt;=N2,O61&gt;=O2),"CASE 4",FALSE()))))</f>
        <v>0</v>
      </c>
      <c r="O65" s="6">
        <f>ABS(M61-M$2)</f>
        <v>0.25758015999999984</v>
      </c>
      <c r="P65" s="7">
        <v>6.3611816000000002E-2</v>
      </c>
      <c r="Q65" s="6" t="b">
        <f>IF(AND(Q61&lt;=Q2,Q61&gt;=R2),"CASE 2",IF(AND(R61&lt;=Q2,R61&gt;=R2),"CASE 1",IF(AND(Q61&gt;=Q2,R61&lt;=R2),"CASE 3",IF(AND(Q61&lt;=Q2,R61&gt;=R2),"CASE 4",FALSE()))))</f>
        <v>0</v>
      </c>
      <c r="R65" s="6">
        <f>ABS(P61-P$2)</f>
        <v>0.14359328000000104</v>
      </c>
      <c r="S65" s="7">
        <v>3.9861369000000001E-2</v>
      </c>
      <c r="T65" s="6" t="str">
        <f>IF(AND(T61&lt;=T2,T61&gt;=U2),"CASE 2",IF(AND(U61&lt;=T2,U61&gt;=U2),"CASE 1",IF(AND(T61&gt;=T2,U61&lt;=U2),"CASE 3",IF(AND(T61&lt;=T2,U61&gt;=U2),"CASE 4",FALSE()))))</f>
        <v>CASE 3</v>
      </c>
      <c r="U65" s="6">
        <f>ABS(S61-S$2)</f>
        <v>1.2675400000002668E-2</v>
      </c>
      <c r="V65" s="7">
        <v>9.2680012000000006E-2</v>
      </c>
      <c r="W65" s="6" t="str">
        <f>IF(AND(W61&lt;=W2,W61&gt;=X2),"CASE 2",IF(AND(X61&lt;=W2,X61&gt;=X2),"CASE 1",IF(AND(W61&gt;=W2,X61&lt;=X2),"CASE 3",IF(AND(W61&lt;=W2,X61&gt;=X2),"CASE 4",FALSE()))))</f>
        <v>CASE 1</v>
      </c>
      <c r="X65" s="6">
        <f>ABS(V61-V$2)</f>
        <v>6.5187449999999814E-2</v>
      </c>
      <c r="Y65" s="7">
        <v>9.9117321999999994E-2</v>
      </c>
      <c r="Z65" s="6" t="str">
        <f>IF(AND(Z61&lt;=Z2,Z61&gt;=AA2),"CASE 2",IF(AND(AA61&lt;=Z2,AA61&gt;=AA2),"CASE 1",IF(AND(Z61&gt;=Z2,AA61&lt;=AA2),"CASE 3",IF(AND(Z61&lt;=Z2,AA61&gt;=AA2),"CASE 4",FALSE()))))</f>
        <v>CASE 3</v>
      </c>
      <c r="AA65" s="6">
        <f>ABS(Y61-Y$2)</f>
        <v>3.1073219999999679E-2</v>
      </c>
      <c r="AB65" s="7">
        <v>0.15226431400000001</v>
      </c>
      <c r="AC65" s="6" t="str">
        <f>IF(AND(AC61&lt;=AC2,AC61&gt;=AD2),"CASE 2",IF(AND(AD61&lt;=AC2,AD61&gt;=AD2),"CASE 1",IF(AND(AC61&gt;=AC2,AD61&lt;=AD2),"CASE 3",IF(AND(AC61&lt;=AC2,AD61&gt;=AD2),"CASE 4",FALSE()))))</f>
        <v>CASE 1</v>
      </c>
      <c r="AD65" s="6">
        <f>ABS(AB61-AB$2)</f>
        <v>5.6383840000000518E-2</v>
      </c>
      <c r="AE65" s="7">
        <v>0.29456404899999999</v>
      </c>
      <c r="AF65" s="6" t="b">
        <f>IF(AND(AF61&lt;=AF2,AF61&gt;=AG2),"CASE 2",IF(AND(AG61&lt;=AF2,AG61&gt;=AG2),"CASE 1",IF(AND(AF61&gt;=AF2,AG61&lt;=AG2),"CASE 3",IF(AND(AF61&lt;=AF2,AG61&gt;=AG2),"CASE 4",FALSE()))))</f>
        <v>0</v>
      </c>
      <c r="AG65" s="6">
        <f>ABS(AE61-AE$2)</f>
        <v>0.9599209999999978</v>
      </c>
    </row>
    <row r="66" spans="1:34" s="6" customFormat="1" x14ac:dyDescent="0.35">
      <c r="A66" s="5">
        <v>0.16114836499999999</v>
      </c>
      <c r="B66" s="6" t="str">
        <f t="shared" ref="B66:B68" si="22">IF(AND(B62&lt;=B3,B62&gt;=C3),"CASE 2",IF(AND(C62&lt;=B3,C62&gt;=C3),"CASE 1",IF(AND(B62&gt;=B3,C62&lt;=C3),"CASE 3",IF(AND(B62&lt;=B3,C62&gt;=C3),"CASE 4",FALSE()))))</f>
        <v>CASE 2</v>
      </c>
      <c r="C66" s="6">
        <f>ABS(A62-A$3)</f>
        <v>8.19674130000001E-2</v>
      </c>
      <c r="D66" s="7">
        <v>0.40348618400000003</v>
      </c>
      <c r="E66" s="6" t="str">
        <f t="shared" ref="E66:E68" si="23">IF(AND(E62&lt;=E3,E62&gt;=F3),"CASE 2",IF(AND(F62&lt;=E3,F62&gt;=F3),"CASE 1",IF(AND(E62&gt;=E3,F62&lt;=F3),"CASE 3",IF(AND(E62&lt;=E3,F62&gt;=F3),"CASE 4",FALSE()))))</f>
        <v>CASE 3</v>
      </c>
      <c r="F66" s="6">
        <f>ABS(D62-D$3)</f>
        <v>0.13108161099999993</v>
      </c>
      <c r="G66" s="7">
        <v>0.29527676899999999</v>
      </c>
      <c r="H66" s="6" t="str">
        <f t="shared" ref="H66:H68" si="24">IF(AND(H62&lt;=H3,H62&gt;=I3),"CASE 2",IF(AND(I62&lt;=H3,I62&gt;=I3),"CASE 1",IF(AND(H62&gt;=H3,I62&lt;=I3),"CASE 3",IF(AND(H62&lt;=H3,I62&gt;=I3),"CASE 4",FALSE()))))</f>
        <v>CASE 3</v>
      </c>
      <c r="I66" s="6">
        <f>ABS(G62-G$3)</f>
        <v>9.4920718000000015E-2</v>
      </c>
      <c r="J66" s="7">
        <v>0.22467343000000001</v>
      </c>
      <c r="K66" s="6" t="str">
        <f t="shared" ref="K66:K68" si="25">IF(AND(K62&lt;=K3,K62&gt;=L3),"CASE 2",IF(AND(L62&lt;=K3,L62&gt;=L3),"CASE 1",IF(AND(K62&gt;=K3,L62&lt;=L3),"CASE 3",IF(AND(K62&lt;=K3,L62&gt;=L3),"CASE 4",FALSE()))))</f>
        <v>CASE 3</v>
      </c>
      <c r="L66" s="6">
        <f>ABS(J62-J$3)</f>
        <v>2.8571605999999861E-2</v>
      </c>
      <c r="M66" s="7">
        <v>0.78977325799999998</v>
      </c>
      <c r="N66" s="6" t="b">
        <f t="shared" ref="N66:N68" si="26">IF(AND(N62&lt;=N3,N62&gt;=O3),"CASE 2",IF(AND(O62&lt;=N3,O62&gt;=O3),"CASE 1",IF(AND(N62&gt;=N3,O62&lt;=O3),"CASE 3",IF(AND(N62&lt;=N3,O62&gt;=O3),"CASE 4",FALSE()))))</f>
        <v>0</v>
      </c>
      <c r="O66" s="6">
        <f>ABS(M62-M$3)</f>
        <v>1.3232815710000003</v>
      </c>
      <c r="P66" s="7">
        <v>0.20911835000000001</v>
      </c>
      <c r="Q66" s="6" t="str">
        <f t="shared" ref="Q66:Q68" si="27">IF(AND(Q62&lt;=Q3,Q62&gt;=R3),"CASE 2",IF(AND(R62&lt;=Q3,R62&gt;=R3),"CASE 1",IF(AND(Q62&gt;=Q3,R62&lt;=R3),"CASE 3",IF(AND(Q62&lt;=Q3,R62&gt;=R3),"CASE 4",FALSE()))))</f>
        <v>CASE 1</v>
      </c>
      <c r="R66" s="6">
        <f>ABS(P62-P$3)</f>
        <v>0.26871120899999923</v>
      </c>
      <c r="S66" s="7">
        <v>0.21750754999999999</v>
      </c>
      <c r="T66" s="6" t="str">
        <f t="shared" ref="T66:T68" si="28">IF(AND(T62&lt;=T3,T62&gt;=U3),"CASE 2",IF(AND(U62&lt;=T3,U62&gt;=U3),"CASE 1",IF(AND(T62&gt;=T3,U62&lt;=U3),"CASE 3",IF(AND(T62&lt;=T3,U62&gt;=U3),"CASE 4",FALSE()))))</f>
        <v>CASE 3</v>
      </c>
      <c r="U66" s="6">
        <f>ABS(S62-S$3)</f>
        <v>5.8920562000000398E-2</v>
      </c>
      <c r="V66" s="7">
        <v>0.76475670299999998</v>
      </c>
      <c r="W66" s="6" t="str">
        <f t="shared" ref="W66:W68" si="29">IF(AND(W62&lt;=W3,W62&gt;=X3),"CASE 2",IF(AND(X62&lt;=W3,X62&gt;=X3),"CASE 1",IF(AND(W62&gt;=W3,X62&lt;=X3),"CASE 3",IF(AND(W62&lt;=W3,X62&gt;=X3),"CASE 4",FALSE()))))</f>
        <v>CASE 3</v>
      </c>
      <c r="X66" s="6">
        <f>ABS(V62-V$3)</f>
        <v>0.18965008799999961</v>
      </c>
      <c r="Y66" s="7">
        <v>0.87453722</v>
      </c>
      <c r="Z66" s="6" t="str">
        <f t="shared" ref="Z66:Z68" si="30">IF(AND(Z62&lt;=Z3,Z62&gt;=AA3),"CASE 2",IF(AND(AA62&lt;=Z3,AA62&gt;=AA3),"CASE 1",IF(AND(Z62&gt;=Z3,AA62&lt;=AA3),"CASE 3",IF(AND(Z62&lt;=Z3,AA62&gt;=AA3),"CASE 4",FALSE()))))</f>
        <v>CASE 1</v>
      </c>
      <c r="AA66" s="6">
        <f>ABS(Y62-Y$3)</f>
        <v>0.59893096999999962</v>
      </c>
      <c r="AB66" s="7">
        <v>0.60203986899999995</v>
      </c>
      <c r="AC66" s="6" t="str">
        <f t="shared" ref="AC66:AC68" si="31">IF(AND(AC62&lt;=AC3,AC62&gt;=AD3),"CASE 2",IF(AND(AD62&lt;=AC3,AD62&gt;=AD3),"CASE 1",IF(AND(AC62&gt;=AC3,AD62&lt;=AD3),"CASE 3",IF(AND(AC62&lt;=AC3,AD62&gt;=AD3),"CASE 4",FALSE()))))</f>
        <v>CASE 1</v>
      </c>
      <c r="AD66" s="6">
        <f>ABS(AB62-AB$3)</f>
        <v>0.84688132999999954</v>
      </c>
      <c r="AE66" s="7">
        <v>2.3580279069999999</v>
      </c>
      <c r="AF66" s="6" t="b">
        <f t="shared" ref="AF66:AF68" si="32">IF(AND(AF62&lt;=AF3,AF62&gt;=AG3),"CASE 2",IF(AND(AG62&lt;=AF3,AG62&gt;=AG3),"CASE 1",IF(AND(AF62&gt;=AF3,AG62&lt;=AG3),"CASE 3",IF(AND(AF62&lt;=AF3,AG62&gt;=AG3),"CASE 4",FALSE()))))</f>
        <v>0</v>
      </c>
      <c r="AG66" s="6">
        <f>ABS(AE62-AE$3)</f>
        <v>14.742439032</v>
      </c>
    </row>
    <row r="67" spans="1:34" s="6" customFormat="1" x14ac:dyDescent="0.35">
      <c r="A67" s="5">
        <v>9.0115026000000001E-2</v>
      </c>
      <c r="B67" s="6" t="str">
        <f t="shared" si="22"/>
        <v>CASE 3</v>
      </c>
      <c r="C67" s="6">
        <f>ABS(A63-A$4)</f>
        <v>1.2089685000000294E-2</v>
      </c>
      <c r="D67" s="7">
        <v>0.56442738400000003</v>
      </c>
      <c r="E67" s="6" t="str">
        <f t="shared" si="23"/>
        <v>CASE 2</v>
      </c>
      <c r="F67" s="6">
        <f>ABS(D63-D$4)</f>
        <v>0.38905769200000018</v>
      </c>
      <c r="G67" s="7">
        <v>8.5068831999999997E-2</v>
      </c>
      <c r="H67" s="6" t="str">
        <f t="shared" si="24"/>
        <v>CASE 1</v>
      </c>
      <c r="I67" s="6">
        <f>ABS(G63-G$4)</f>
        <v>6.4078577000000081E-2</v>
      </c>
      <c r="J67" s="7">
        <v>0.20956580999999999</v>
      </c>
      <c r="K67" s="6" t="str">
        <f t="shared" si="25"/>
        <v>CASE 1</v>
      </c>
      <c r="L67" s="6">
        <f>ABS(J63-J$4)</f>
        <v>0.18239928599999988</v>
      </c>
      <c r="M67" s="7">
        <v>1.0708411229999999</v>
      </c>
      <c r="N67" s="6" t="str">
        <f t="shared" si="26"/>
        <v>CASE 1</v>
      </c>
      <c r="O67" s="6">
        <f>ABS(M63-M$4)</f>
        <v>1.219236631</v>
      </c>
      <c r="P67" s="7">
        <v>0.274897999</v>
      </c>
      <c r="Q67" s="6" t="b">
        <f t="shared" si="27"/>
        <v>0</v>
      </c>
      <c r="R67" s="6">
        <f>ABS(P63-P$4)</f>
        <v>0.48423463399999989</v>
      </c>
      <c r="S67" s="7">
        <v>0.148511959</v>
      </c>
      <c r="T67" s="6" t="str">
        <f t="shared" si="28"/>
        <v>CASE 3</v>
      </c>
      <c r="U67" s="6">
        <f>ABS(S63-S$4)</f>
        <v>2.893942599999999E-2</v>
      </c>
      <c r="V67" s="7">
        <v>0.25285022899999998</v>
      </c>
      <c r="W67" s="6" t="str">
        <f t="shared" si="29"/>
        <v>CASE 1</v>
      </c>
      <c r="X67" s="6">
        <f>ABS(V63-V$4)</f>
        <v>0.24478449099999988</v>
      </c>
      <c r="Y67" s="7">
        <v>0.39367901700000002</v>
      </c>
      <c r="Z67" s="6" t="str">
        <f t="shared" si="30"/>
        <v>CASE 3</v>
      </c>
      <c r="AA67" s="6">
        <f>ABS(Y63-Y$4)</f>
        <v>8.6368895999999973E-2</v>
      </c>
      <c r="AB67" s="7">
        <v>0.95130844400000003</v>
      </c>
      <c r="AC67" s="6" t="str">
        <f t="shared" si="31"/>
        <v>CASE 3</v>
      </c>
      <c r="AD67" s="6">
        <f>ABS(AB63-AB$4)</f>
        <v>2.7754958000000052E-2</v>
      </c>
      <c r="AE67" s="7">
        <v>0.72614300499999995</v>
      </c>
      <c r="AF67" s="6" t="str">
        <f t="shared" si="32"/>
        <v>CASE 1</v>
      </c>
      <c r="AG67" s="6">
        <f>ABS(AE63-AE$4)</f>
        <v>1.0123527829999999</v>
      </c>
    </row>
    <row r="68" spans="1:34" s="6" customFormat="1" x14ac:dyDescent="0.35">
      <c r="A68" s="5">
        <v>6.0408292000000002E-2</v>
      </c>
      <c r="B68" s="6" t="str">
        <f t="shared" si="22"/>
        <v>CASE 3</v>
      </c>
      <c r="C68" s="6">
        <f>ABS(A64-A$5)</f>
        <v>1.5392780999999855E-2</v>
      </c>
      <c r="D68" s="7">
        <v>0.178321073</v>
      </c>
      <c r="E68" s="6" t="str">
        <f t="shared" si="23"/>
        <v>CASE 3</v>
      </c>
      <c r="F68" s="6">
        <f>ABS(D64-D$5)</f>
        <v>3.5437345000000064E-2</v>
      </c>
      <c r="G68" s="7">
        <v>0.170903637</v>
      </c>
      <c r="H68" s="6" t="str">
        <f t="shared" si="24"/>
        <v>CASE 3</v>
      </c>
      <c r="I68" s="6">
        <f>ABS(G64-G$5)</f>
        <v>1.3319135000000148E-2</v>
      </c>
      <c r="J68" s="7">
        <v>9.1564897000000006E-2</v>
      </c>
      <c r="K68" s="6" t="str">
        <f t="shared" si="25"/>
        <v>CASE 3</v>
      </c>
      <c r="L68" s="6">
        <f>ABS(J64-J$5)</f>
        <v>7.0820149999999416E-3</v>
      </c>
      <c r="M68" s="7">
        <v>0.30397550000000001</v>
      </c>
      <c r="N68" s="6" t="str">
        <f t="shared" si="26"/>
        <v>CASE 1</v>
      </c>
      <c r="O68" s="6">
        <f>ABS(M64-M$5)</f>
        <v>0.28177857400000006</v>
      </c>
      <c r="P68" s="7">
        <v>0.10451753499999999</v>
      </c>
      <c r="Q68" s="6" t="str">
        <f t="shared" si="27"/>
        <v>CASE 3</v>
      </c>
      <c r="R68" s="6">
        <f>ABS(P64-P$5)</f>
        <v>4.0175441000000145E-2</v>
      </c>
      <c r="S68" s="7">
        <v>9.7552794999999998E-2</v>
      </c>
      <c r="T68" s="6" t="str">
        <f t="shared" si="28"/>
        <v>CASE 3</v>
      </c>
      <c r="U68" s="6">
        <f>ABS(S64-S$5)</f>
        <v>7.5621610000000672E-3</v>
      </c>
      <c r="V68" s="7">
        <v>0.32604997499999999</v>
      </c>
      <c r="W68" s="6" t="str">
        <f t="shared" si="29"/>
        <v>CASE 3</v>
      </c>
      <c r="X68" s="6">
        <f>ABS(V64-V$5)</f>
        <v>1.8140792999999933E-2</v>
      </c>
      <c r="Y68" s="7">
        <v>0.30990447300000001</v>
      </c>
      <c r="Z68" s="6" t="str">
        <f t="shared" si="30"/>
        <v>CASE 3</v>
      </c>
      <c r="AA68" s="6">
        <f>ABS(Y64-Y$5)</f>
        <v>0.14317330700000008</v>
      </c>
      <c r="AB68" s="7">
        <v>0.31357183199999999</v>
      </c>
      <c r="AC68" s="6" t="str">
        <f t="shared" si="31"/>
        <v>CASE 3</v>
      </c>
      <c r="AD68" s="6">
        <f>ABS(AB64-AB$5)</f>
        <v>1.1712399999996848E-4</v>
      </c>
      <c r="AE68" s="7">
        <v>1.556224142</v>
      </c>
      <c r="AF68" s="6" t="str">
        <f t="shared" si="32"/>
        <v>CASE 3</v>
      </c>
      <c r="AG68" s="6">
        <f>ABS(AE64-AE$5)</f>
        <v>0.82622146599999979</v>
      </c>
      <c r="AH68" s="6" t="s">
        <v>17</v>
      </c>
    </row>
    <row r="69" spans="1:34" s="9" customFormat="1" ht="15" thickBot="1" x14ac:dyDescent="0.4">
      <c r="A69" s="8"/>
      <c r="B69" s="9" t="s">
        <v>16</v>
      </c>
      <c r="C69" s="9">
        <f>SUM(C65:C68)</f>
        <v>0.13119734900000135</v>
      </c>
      <c r="D69" s="10"/>
      <c r="E69" s="9" t="s">
        <v>16</v>
      </c>
      <c r="F69" s="9">
        <f>SUM(F65:F68)</f>
        <v>0.68755995800000091</v>
      </c>
      <c r="G69" s="10"/>
      <c r="H69" s="9" t="s">
        <v>16</v>
      </c>
      <c r="I69" s="9">
        <f>SUM(I65:I68)</f>
        <v>0.17827019000000055</v>
      </c>
      <c r="J69" s="10"/>
      <c r="K69" s="9" t="s">
        <v>16</v>
      </c>
      <c r="L69" s="9">
        <f>SUM(L65:L68)</f>
        <v>0.25762276699999997</v>
      </c>
      <c r="M69" s="10"/>
      <c r="N69" s="9" t="s">
        <v>16</v>
      </c>
      <c r="O69" s="9">
        <f>SUM(O65:O68)</f>
        <v>3.081876936</v>
      </c>
      <c r="P69" s="10"/>
      <c r="Q69" s="9" t="s">
        <v>16</v>
      </c>
      <c r="R69" s="9">
        <f>SUM(R65:R68)</f>
        <v>0.9367145640000003</v>
      </c>
      <c r="S69" s="10"/>
      <c r="T69" s="9" t="s">
        <v>16</v>
      </c>
      <c r="U69" s="9">
        <f>SUM(U65:U68)</f>
        <v>0.10809754900000312</v>
      </c>
      <c r="V69" s="10"/>
      <c r="W69" s="9" t="s">
        <v>16</v>
      </c>
      <c r="X69" s="9">
        <f>SUM(X65:X68)</f>
        <v>0.51776282199999923</v>
      </c>
      <c r="Y69" s="10"/>
      <c r="Z69" s="9" t="s">
        <v>16</v>
      </c>
      <c r="AA69" s="9">
        <f>SUM(AA65:AA68)</f>
        <v>0.85954639299999935</v>
      </c>
      <c r="AB69" s="10"/>
      <c r="AC69" s="9" t="s">
        <v>16</v>
      </c>
      <c r="AD69" s="9">
        <f>SUM(AD65:AD68)</f>
        <v>0.93113725200000008</v>
      </c>
      <c r="AE69" s="10"/>
      <c r="AF69" s="9" t="s">
        <v>16</v>
      </c>
      <c r="AG69" s="9">
        <f>SUM(AG65:AG68)</f>
        <v>17.540934280999998</v>
      </c>
      <c r="AH69" s="9">
        <f>SUM(F65:F68,C65:C68,I65:I68,L65:L68,O65:O68,R65:R68,U65:U68,X65:X68,AA65:AA68,AD65:AD68)</f>
        <v>7.6897857800000056</v>
      </c>
    </row>
    <row r="70" spans="1:34" s="6" customFormat="1" x14ac:dyDescent="0.35">
      <c r="A70" s="7">
        <f>(10^A61)/(10^(15+A65))</f>
        <v>23.718489240661178</v>
      </c>
      <c r="B70" s="11"/>
      <c r="D70" s="7">
        <f>(10^D61)/(10^(15+D65))</f>
        <v>1.8635290232669897</v>
      </c>
      <c r="E70" s="11">
        <f>2925000000000000/1319000000000000</f>
        <v>2.2175890826383622</v>
      </c>
      <c r="G70" s="7">
        <f>(10^G61)/(10^(15+G65))</f>
        <v>7.3834547904435386</v>
      </c>
      <c r="H70" s="11">
        <f>8047000000000000/692400000000000</f>
        <v>11.621894858463316</v>
      </c>
      <c r="J70" s="7">
        <f>(10^J61)/(10^(15+J65))</f>
        <v>7.1391039563295768</v>
      </c>
      <c r="K70" s="11">
        <f>8128000000000000/1054000000000000</f>
        <v>7.7115749525616701</v>
      </c>
      <c r="M70" s="7">
        <f>(10^M61)/(10^(15+M65))</f>
        <v>4.1948592448028386</v>
      </c>
      <c r="N70" s="11">
        <f>6456000000000000/2783000000000000</f>
        <v>2.3197987782968021</v>
      </c>
      <c r="P70" s="7">
        <f>(10^P61)/(10^(15+P65))</f>
        <v>4.7107406413474786</v>
      </c>
      <c r="Q70" s="11">
        <f>5454000000000000/798800000000000</f>
        <v>6.8277416124186283</v>
      </c>
      <c r="S70" s="7">
        <f>(10^S61)/(10^(15+S65))</f>
        <v>11.394481851054175</v>
      </c>
      <c r="T70" s="11">
        <f>12490000000000000/1146000000000000</f>
        <v>10.898778359511343</v>
      </c>
      <c r="V70" s="7">
        <f>(10^V61)/(10^(15+V65))</f>
        <v>2.4877091182811411</v>
      </c>
      <c r="W70" s="11">
        <f>3079000000000000/657200000000000</f>
        <v>4.6850273889227028</v>
      </c>
      <c r="Y70" s="7">
        <f>(10^Y61)/(10^(14+Y65))</f>
        <v>5.2609528311413545</v>
      </c>
      <c r="Z70" s="11">
        <f>661000000000000/150900000000000</f>
        <v>4.380384360503645</v>
      </c>
      <c r="AB70" s="7">
        <f>(10^AB61)/(10^(14+AB65))</f>
        <v>7.2378172955289974</v>
      </c>
      <c r="AC70" s="11">
        <f>1028000000000000/360300000000000</f>
        <v>2.8531779072994725</v>
      </c>
      <c r="AE70" s="7">
        <f>(10^AE61)/(10^(15+AE65))</f>
        <v>6.5917600651304484</v>
      </c>
      <c r="AF70" s="11">
        <f>12990000000000000/8810000000000000</f>
        <v>1.4744608399545971</v>
      </c>
    </row>
    <row r="71" spans="1:34" s="6" customFormat="1" x14ac:dyDescent="0.35">
      <c r="A71" s="7">
        <f t="shared" ref="A71:A74" si="33">A62/A66</f>
        <v>23.940605851011895</v>
      </c>
      <c r="D71" s="7">
        <f t="shared" ref="D71:D73" si="34">D62/D66</f>
        <v>8.8982307409068557</v>
      </c>
      <c r="G71" s="7">
        <f t="shared" ref="G71:G73" si="35">G62/G66</f>
        <v>14.534482677165842</v>
      </c>
      <c r="J71" s="7">
        <f t="shared" ref="J71:J73" si="36">J62/J66</f>
        <v>18.908386714886579</v>
      </c>
      <c r="M71" s="7">
        <f t="shared" ref="M71:M73" si="37">M62/M66</f>
        <v>5.50351179907892</v>
      </c>
      <c r="P71" s="7">
        <f t="shared" ref="P71:P73" si="38">P62/P66</f>
        <v>22.183447621884927</v>
      </c>
      <c r="S71" s="7">
        <f t="shared" ref="S71:S73" si="39">S62/S66</f>
        <v>18.317505341768598</v>
      </c>
      <c r="V71" s="7">
        <f t="shared" ref="V71:V73" si="40">V62/V66</f>
        <v>5.9725801265713132</v>
      </c>
      <c r="Y71" s="7">
        <f t="shared" ref="Y71:Y73" si="41">Y62/Y66</f>
        <v>5.306172437120515</v>
      </c>
      <c r="AB71" s="7">
        <f t="shared" ref="AB71:AB73" si="42">AB62/AB66</f>
        <v>8.8119227416149748</v>
      </c>
      <c r="AE71" s="7">
        <f t="shared" ref="AE71:AE73" si="43">AE62/AE66</f>
        <v>8.4816638262118751</v>
      </c>
    </row>
    <row r="72" spans="1:34" s="6" customFormat="1" x14ac:dyDescent="0.35">
      <c r="A72" s="7">
        <f t="shared" si="33"/>
        <v>29.896657633988809</v>
      </c>
      <c r="D72" s="7">
        <f t="shared" si="34"/>
        <v>3.8689856869169903</v>
      </c>
      <c r="G72" s="7">
        <f t="shared" si="35"/>
        <v>13.815815785504144</v>
      </c>
      <c r="J72" s="7">
        <f t="shared" si="36"/>
        <v>10.806471742695052</v>
      </c>
      <c r="M72" s="7">
        <f t="shared" si="37"/>
        <v>2.9939783924416958</v>
      </c>
      <c r="P72" s="7">
        <f t="shared" si="38"/>
        <v>10.803233165767788</v>
      </c>
      <c r="S72" s="7">
        <f t="shared" si="39"/>
        <v>13.715606269795417</v>
      </c>
      <c r="V72" s="7">
        <f t="shared" si="40"/>
        <v>6.6491471399853861</v>
      </c>
      <c r="Y72" s="7">
        <f t="shared" si="41"/>
        <v>4.6854290484067125</v>
      </c>
      <c r="AB72" s="7">
        <f t="shared" si="42"/>
        <v>3.4084011525918925</v>
      </c>
      <c r="AE72" s="7">
        <f t="shared" si="43"/>
        <v>3.8196915468462032</v>
      </c>
    </row>
    <row r="73" spans="1:34" s="6" customFormat="1" x14ac:dyDescent="0.35">
      <c r="A73" s="7">
        <f t="shared" si="33"/>
        <v>32.199605908407406</v>
      </c>
      <c r="D73" s="7">
        <f t="shared" si="34"/>
        <v>10.210626015019548</v>
      </c>
      <c r="G73" s="7">
        <f t="shared" si="35"/>
        <v>11.507161061762542</v>
      </c>
      <c r="J73" s="7">
        <f t="shared" si="36"/>
        <v>20.821247928668559</v>
      </c>
      <c r="M73" s="7">
        <f t="shared" si="37"/>
        <v>7.5116776352041539</v>
      </c>
      <c r="P73" s="7">
        <f t="shared" si="38"/>
        <v>20.097290880424993</v>
      </c>
      <c r="S73" s="7">
        <f t="shared" si="39"/>
        <v>16.98261505475061</v>
      </c>
      <c r="V73" s="7">
        <f t="shared" si="40"/>
        <v>6.1238399910933898</v>
      </c>
      <c r="Y73" s="7">
        <f t="shared" si="41"/>
        <v>6.1558573180065075</v>
      </c>
      <c r="AB73" s="7">
        <f t="shared" si="42"/>
        <v>5.4738006888322808</v>
      </c>
      <c r="AE73" s="7">
        <f t="shared" si="43"/>
        <v>1.5059375881343959</v>
      </c>
    </row>
    <row r="74" spans="1:34" s="6" customFormat="1" x14ac:dyDescent="0.35">
      <c r="A74" s="7"/>
      <c r="D74" s="7"/>
      <c r="G74" s="7"/>
      <c r="J74" s="7"/>
      <c r="M74" s="7"/>
      <c r="P74" s="7"/>
      <c r="S74" s="7"/>
      <c r="V74" s="7"/>
      <c r="Y74" s="7"/>
      <c r="AB74" s="7"/>
      <c r="AE74" s="7"/>
    </row>
    <row r="75" spans="1:34" x14ac:dyDescent="0.35">
      <c r="A75" s="1" t="s">
        <v>24</v>
      </c>
    </row>
    <row r="76" spans="1:34" x14ac:dyDescent="0.35">
      <c r="A76" s="1">
        <v>16.344294489999999</v>
      </c>
      <c r="B76">
        <f>A76+A80</f>
        <v>16.36415335765</v>
      </c>
      <c r="C76">
        <f>A76-A80</f>
        <v>16.324435622349998</v>
      </c>
      <c r="D76" s="1">
        <v>15.45970249</v>
      </c>
      <c r="E76">
        <f>D76+D80</f>
        <v>15.653467583299999</v>
      </c>
      <c r="F76">
        <f>D76-D80</f>
        <v>15.2659373967</v>
      </c>
      <c r="G76" s="1">
        <v>15.89548826</v>
      </c>
      <c r="H76">
        <f>G76+G80</f>
        <v>15.932558287120001</v>
      </c>
      <c r="I76">
        <f>G76-G80</f>
        <v>15.85841823288</v>
      </c>
      <c r="J76" s="1">
        <v>15.910394549999999</v>
      </c>
      <c r="K76">
        <f>J76+J80</f>
        <v>15.966849335159999</v>
      </c>
      <c r="L76">
        <f>J76-J80</f>
        <v>15.85393976484</v>
      </c>
      <c r="M76" s="1">
        <v>15.809826340000001</v>
      </c>
      <c r="N76">
        <f>M76+M80</f>
        <v>15.9975990577</v>
      </c>
      <c r="O76">
        <f>M76-M80</f>
        <v>15.622053622300001</v>
      </c>
      <c r="P76" s="1">
        <v>15.73545182</v>
      </c>
      <c r="Q76">
        <f>P76+P80</f>
        <v>15.79857446163</v>
      </c>
      <c r="R76">
        <f>P76-P80</f>
        <v>15.672329178369999</v>
      </c>
      <c r="S76" s="1">
        <v>16.093818070000001</v>
      </c>
      <c r="T76">
        <f>S76+S80</f>
        <v>16.133302272600002</v>
      </c>
      <c r="U76">
        <f>S76-S80</f>
        <v>16.0543338674</v>
      </c>
      <c r="V76" s="1">
        <v>15.48909855</v>
      </c>
      <c r="W76">
        <f>V76+V80</f>
        <v>15.58134724128</v>
      </c>
      <c r="X76">
        <f>V76-V80</f>
        <v>15.39684985872</v>
      </c>
      <c r="Y76" s="1">
        <v>14.81751263</v>
      </c>
      <c r="Z76">
        <f>Y76+Y80</f>
        <v>14.91684604396</v>
      </c>
      <c r="AA76">
        <f>Y76-Y80</f>
        <v>14.718179216039999</v>
      </c>
      <c r="AB76" s="1">
        <v>15.011873599999999</v>
      </c>
      <c r="AC76">
        <f>AB76+AB80</f>
        <v>15.164573210999999</v>
      </c>
      <c r="AD76">
        <f>AB76-AB80</f>
        <v>14.859173989</v>
      </c>
      <c r="AE76" s="1">
        <v>16.118472100000002</v>
      </c>
      <c r="AF76">
        <f>AE76+AE80</f>
        <v>16.409258503900002</v>
      </c>
      <c r="AG76">
        <f>AE76-AE80</f>
        <v>15.827685696100001</v>
      </c>
    </row>
    <row r="77" spans="1:34" x14ac:dyDescent="0.35">
      <c r="A77" s="1">
        <v>4.145005941</v>
      </c>
      <c r="B77">
        <f>A77+A81</f>
        <v>4.3128691250999998</v>
      </c>
      <c r="C77">
        <f>A77-A81</f>
        <v>3.9771427569000002</v>
      </c>
      <c r="D77" s="1">
        <v>3.624715149</v>
      </c>
      <c r="E77">
        <f>D77+D81</f>
        <v>4.0242599041</v>
      </c>
      <c r="F77">
        <f>D77-D81</f>
        <v>3.2251703939</v>
      </c>
      <c r="G77" s="1">
        <v>4.2890783470000002</v>
      </c>
      <c r="H77">
        <f>G77+G81</f>
        <v>4.5853444494</v>
      </c>
      <c r="I77">
        <f>G77-G81</f>
        <v>3.9928122446000001</v>
      </c>
      <c r="J77" s="1">
        <v>4.2266330119999997</v>
      </c>
      <c r="K77">
        <f>J77+J81</f>
        <v>4.4492609508999994</v>
      </c>
      <c r="L77">
        <f>J77-J81</f>
        <v>4.0040050731000001</v>
      </c>
      <c r="M77" s="1">
        <v>4.3456566480000003</v>
      </c>
      <c r="N77">
        <f>M77+M81</f>
        <v>5.1386499167000004</v>
      </c>
      <c r="O77">
        <f>M77-M81</f>
        <v>3.5526633793000002</v>
      </c>
      <c r="P77" s="1">
        <v>4.6656525139999996</v>
      </c>
      <c r="Q77">
        <f>P77+P81</f>
        <v>4.8750831805999999</v>
      </c>
      <c r="R77">
        <f>P77-P81</f>
        <v>4.4562218473999993</v>
      </c>
      <c r="S77" s="1">
        <v>3.9578145739999999</v>
      </c>
      <c r="T77">
        <f>S77+S81</f>
        <v>4.1728978609</v>
      </c>
      <c r="U77">
        <f>S77-S81</f>
        <v>3.7427312870999998</v>
      </c>
      <c r="V77" s="1">
        <v>4.5914658309999998</v>
      </c>
      <c r="W77">
        <f>V77+V81</f>
        <v>5.3537366123999997</v>
      </c>
      <c r="X77">
        <f>V77-V81</f>
        <v>3.8291950496</v>
      </c>
      <c r="Y77" s="1">
        <v>4.6016447539999996</v>
      </c>
      <c r="Z77">
        <f>Y77+Y81</f>
        <v>5.4689170785999996</v>
      </c>
      <c r="AA77">
        <f>Y77-Y81</f>
        <v>3.7343724293999996</v>
      </c>
      <c r="AB77" s="1">
        <v>5.3051345349999997</v>
      </c>
      <c r="AC77">
        <f>AB77+AB81</f>
        <v>5.9089107818999995</v>
      </c>
      <c r="AD77">
        <f>AB77-AB81</f>
        <v>4.7013582880999998</v>
      </c>
      <c r="AE77" s="1">
        <v>20</v>
      </c>
      <c r="AF77">
        <f>AE77+AE81</f>
        <v>22.360114371000002</v>
      </c>
      <c r="AG77">
        <f>AE77-AE81</f>
        <v>17.639885628999998</v>
      </c>
    </row>
    <row r="78" spans="1:34" x14ac:dyDescent="0.35">
      <c r="A78" s="1">
        <v>2.587630216</v>
      </c>
      <c r="B78">
        <f>A78+A82</f>
        <v>2.6692472130899998</v>
      </c>
      <c r="C78">
        <f>A78-A82</f>
        <v>2.5060132189100002</v>
      </c>
      <c r="D78" s="1">
        <v>2.1631445330000001</v>
      </c>
      <c r="E78">
        <f>D78+D82</f>
        <v>2.7175507145000002</v>
      </c>
      <c r="F78">
        <f>D78-D82</f>
        <v>1.6087383515</v>
      </c>
      <c r="G78" s="1">
        <v>1.1506206800000001</v>
      </c>
      <c r="H78">
        <f>G78+G82</f>
        <v>1.2328135363300001</v>
      </c>
      <c r="I78">
        <f>G78-G82</f>
        <v>1.06842782367</v>
      </c>
      <c r="J78" s="1">
        <v>2.2624805499999998</v>
      </c>
      <c r="K78">
        <f>J78+J82</f>
        <v>2.4724013803</v>
      </c>
      <c r="L78">
        <f>J78-J82</f>
        <v>2.0525597196999996</v>
      </c>
      <c r="M78" s="1">
        <v>3.2058885949999998</v>
      </c>
      <c r="N78">
        <f>M78+M82</f>
        <v>4.2797046729999995</v>
      </c>
      <c r="O78">
        <f>M78-M82</f>
        <v>2.1320725170000001</v>
      </c>
      <c r="P78" s="1">
        <v>2.956678594</v>
      </c>
      <c r="Q78">
        <f>P78+P82</f>
        <v>3.2281789875999998</v>
      </c>
      <c r="R78">
        <f>P78-P82</f>
        <v>2.6851782004000002</v>
      </c>
      <c r="S78" s="1">
        <v>2.0161994060000001</v>
      </c>
      <c r="T78">
        <f>S78+S82</f>
        <v>2.161365328</v>
      </c>
      <c r="U78">
        <f>S78-S82</f>
        <v>1.8710334840000002</v>
      </c>
      <c r="V78" s="1">
        <v>1.6703150870000001</v>
      </c>
      <c r="W78">
        <f>V78+V82</f>
        <v>1.919560739</v>
      </c>
      <c r="X78">
        <f>V78-V82</f>
        <v>1.4210694350000002</v>
      </c>
      <c r="Y78" s="1">
        <v>1.852181777</v>
      </c>
      <c r="Z78">
        <f>Y78+Y82</f>
        <v>2.2503875262999999</v>
      </c>
      <c r="AA78">
        <f>Y78-Y82</f>
        <v>1.4539760277</v>
      </c>
      <c r="AB78" s="1">
        <v>3.2424593119999998</v>
      </c>
      <c r="AC78">
        <f>AB78+AB82</f>
        <v>4.1964882459999995</v>
      </c>
      <c r="AD78">
        <f>AB78-AB82</f>
        <v>2.2884303779999997</v>
      </c>
      <c r="AE78" s="1">
        <v>2.7835795280000002</v>
      </c>
      <c r="AF78">
        <f>AE78+AE82</f>
        <v>3.5056438209</v>
      </c>
      <c r="AG78">
        <f>AE78-AE82</f>
        <v>2.0615152351000003</v>
      </c>
    </row>
    <row r="79" spans="1:34" x14ac:dyDescent="0.35">
      <c r="A79" s="1">
        <v>1.979096416</v>
      </c>
      <c r="B79">
        <f>A79+A83</f>
        <v>2.04228442942</v>
      </c>
      <c r="C79">
        <f>A79-A83</f>
        <v>1.9159084025799999</v>
      </c>
      <c r="D79" s="1">
        <v>1.820609331</v>
      </c>
      <c r="E79">
        <f>D79+D83</f>
        <v>2.0008056435000001</v>
      </c>
      <c r="F79">
        <f>D79-D83</f>
        <v>1.6404130184999999</v>
      </c>
      <c r="G79" s="1">
        <v>1.960921049</v>
      </c>
      <c r="H79">
        <f>G79+G83</f>
        <v>2.1323053980999997</v>
      </c>
      <c r="I79">
        <f>G79-G83</f>
        <v>1.7895366999</v>
      </c>
      <c r="J79" s="1">
        <v>1.9127268719999999</v>
      </c>
      <c r="K79">
        <f>J79+J83</f>
        <v>2.0035413953900001</v>
      </c>
      <c r="L79">
        <f>J79-J83</f>
        <v>1.82191234861</v>
      </c>
      <c r="M79" s="1">
        <v>2.283471107</v>
      </c>
      <c r="N79">
        <f>M79+M83</f>
        <v>2.5882653832</v>
      </c>
      <c r="O79">
        <f>M79-M83</f>
        <v>1.9786768308</v>
      </c>
      <c r="P79" s="1">
        <v>2.081009984</v>
      </c>
      <c r="Q79">
        <f>P79+P83</f>
        <v>2.1859223232000002</v>
      </c>
      <c r="R79">
        <f>P79-P83</f>
        <v>1.9760976448000001</v>
      </c>
      <c r="S79" s="1">
        <v>1.64834547</v>
      </c>
      <c r="T79">
        <f>S79+S83</f>
        <v>1.7448872014300001</v>
      </c>
      <c r="U79">
        <f>S79-S83</f>
        <v>1.5518037385699999</v>
      </c>
      <c r="V79" s="1">
        <v>1.99313736</v>
      </c>
      <c r="W79">
        <f>V79+V83</f>
        <v>2.3198299321999998</v>
      </c>
      <c r="X79">
        <f>V79-V83</f>
        <v>1.6664447877999999</v>
      </c>
      <c r="Y79" s="1">
        <v>1.9183826450000001</v>
      </c>
      <c r="Z79">
        <f>Y79+Y83</f>
        <v>2.2227942626999999</v>
      </c>
      <c r="AA79">
        <f>Y79-Y83</f>
        <v>1.6139710273000001</v>
      </c>
      <c r="AB79" s="1">
        <v>1.716473132</v>
      </c>
      <c r="AC79">
        <f>AB79+AB83</f>
        <v>2.0309363129999998</v>
      </c>
      <c r="AD79">
        <f>AB79-AB83</f>
        <v>1.4020099509999999</v>
      </c>
      <c r="AE79" s="1">
        <v>2.4233112339999998</v>
      </c>
      <c r="AF79">
        <f>AE79+AE83</f>
        <v>3.9672577559999995</v>
      </c>
      <c r="AG79">
        <f>AE79-AE83</f>
        <v>0.87936471199999988</v>
      </c>
    </row>
    <row r="80" spans="1:34" x14ac:dyDescent="0.35">
      <c r="A80" s="1">
        <v>1.9858867650000001E-2</v>
      </c>
      <c r="B80" t="b">
        <f>IF(AND(B76&lt;=B2,B76&gt;=C2),"CASE 2",IF(AND(C76&lt;=B2,C76&gt;=C2),"CASE 1",IF(AND(B76&gt;=B2,C76&lt;=C2),"CASE 3",IF(AND(B76&lt;=B2,C76&gt;=C2),"CASE 4",FALSE()))))</f>
        <v>0</v>
      </c>
      <c r="C80">
        <f>ABS(A76-A$2)</f>
        <v>7.3619900000000627E-2</v>
      </c>
      <c r="D80" s="1">
        <v>0.1937650933</v>
      </c>
      <c r="E80" t="str">
        <f>IF(AND(E76&lt;=E2,E76&gt;=F2),"CASE 2",IF(AND(F76&lt;=E2,F76&gt;=F2),"CASE 1",IF(AND(E76&gt;=E2,F76&lt;=F2),"CASE 3",IF(AND(E76&lt;=E2,F76&gt;=F2),"CASE 4",FALSE()))))</f>
        <v>CASE 2</v>
      </c>
      <c r="F80">
        <f>ABS(D76-D$2)</f>
        <v>0.13846469000000106</v>
      </c>
      <c r="G80" s="1">
        <v>3.7070027120000001E-2</v>
      </c>
      <c r="H80" t="str">
        <f>IF(AND(H76&lt;=H2,H76&gt;=I2),"CASE 2",IF(AND(I76&lt;=H2,I76&gt;=I2),"CASE 1",IF(AND(H76&gt;=H2,I76&lt;=I2),"CASE 3",IF(AND(H76&lt;=H2,I76&gt;=I2),"CASE 4",FALSE()))))</f>
        <v>CASE 3</v>
      </c>
      <c r="I80">
        <f>ABS(G76-G$2)</f>
        <v>4.1882999999991455E-3</v>
      </c>
      <c r="J80" s="1">
        <v>5.645478516E-2</v>
      </c>
      <c r="K80" t="str">
        <f>IF(AND(K76&lt;=K2,K76&gt;=L2),"CASE 2",IF(AND(L76&lt;=K2,L76&gt;=L2),"CASE 1",IF(AND(K76&gt;=K2,L76&lt;=L2),"CASE 3",IF(AND(K76&lt;=K2,L76&gt;=L2),"CASE 4",FALSE()))))</f>
        <v>CASE 1</v>
      </c>
      <c r="L80">
        <f>ABS(J76-J$2)</f>
        <v>3.9990489999999213E-2</v>
      </c>
      <c r="M80" s="1">
        <v>0.18777271770000001</v>
      </c>
      <c r="N80" t="b">
        <f>IF(AND(N76&lt;=N2,N76&gt;=O2),"CASE 2",IF(AND(O76&lt;=N2,O76&gt;=O2),"CASE 1",IF(AND(N76&gt;=N2,O76&lt;=O2),"CASE 3",IF(AND(N76&lt;=N2,O76&gt;=O2),"CASE 4",FALSE()))))</f>
        <v>0</v>
      </c>
      <c r="O80">
        <f>ABS(M76-M$2)</f>
        <v>0.25745305000000052</v>
      </c>
      <c r="P80" s="1">
        <v>6.3122641630000004E-2</v>
      </c>
      <c r="Q80" t="b">
        <f>IF(AND(Q76&lt;=Q2,Q76&gt;=R2),"CASE 2",IF(AND(R76&lt;=Q2,R76&gt;=R2),"CASE 1",IF(AND(Q76&gt;=Q2,R76&lt;=R2),"CASE 3",IF(AND(Q76&lt;=Q2,R76&gt;=R2),"CASE 4",FALSE()))))</f>
        <v>0</v>
      </c>
      <c r="R80">
        <f>ABS(P76-P$2)</f>
        <v>0.14234408999999992</v>
      </c>
      <c r="S80" s="1">
        <v>3.9484202599999997E-2</v>
      </c>
      <c r="T80" t="str">
        <f>IF(AND(T76&lt;=T2,T76&gt;=U2),"CASE 2",IF(AND(U76&lt;=T2,U76&gt;=U2),"CASE 1",IF(AND(T76&gt;=T2,U76&lt;=U2),"CASE 3",IF(AND(T76&lt;=T2,U76&gt;=U2),"CASE 4",FALSE()))))</f>
        <v>CASE 3</v>
      </c>
      <c r="U80">
        <f>ABS(S76-S$2)</f>
        <v>1.541328000000064E-2</v>
      </c>
      <c r="V80" s="1">
        <v>9.2248691280000003E-2</v>
      </c>
      <c r="W80" t="str">
        <f>IF(AND(W76&lt;=W2,W76&gt;=X2),"CASE 2",IF(AND(X76&lt;=W2,X76&gt;=X2),"CASE 1",IF(AND(W76&gt;=W2,X76&lt;=X2),"CASE 3",IF(AND(W76&lt;=W2,X76&gt;=X2),"CASE 4",FALSE()))))</f>
        <v>CASE 1</v>
      </c>
      <c r="X80">
        <f>ABS(V76-V$2)</f>
        <v>6.5806389999998771E-2</v>
      </c>
      <c r="Y80" s="1">
        <v>9.9333413960000005E-2</v>
      </c>
      <c r="Z80" t="str">
        <f>IF(AND(Z76&lt;=Z2,Z76&gt;=AA2),"CASE 2",IF(AND(AA76&lt;=Z2,AA76&gt;=AA2),"CASE 1",IF(AND(Z76&gt;=Z2,AA76&lt;=AA2),"CASE 3",IF(AND(Z76&lt;=Z2,AA76&gt;=AA2),"CASE 4",FALSE()))))</f>
        <v>CASE 3</v>
      </c>
      <c r="AA80">
        <f>ABS(Y76-Y$2)</f>
        <v>2.8404119999999367E-2</v>
      </c>
      <c r="AB80" s="1">
        <v>0.15269961100000001</v>
      </c>
      <c r="AC80" t="str">
        <f>IF(AND(AC76&lt;=AC2,AC76&gt;=AD2),"CASE 2",IF(AND(AD76&lt;=AC2,AD76&gt;=AD2),"CASE 1",IF(AND(AC76&gt;=AC2,AD76&lt;=AD2),"CASE 3",IF(AND(AC76&lt;=AC2,AD76&gt;=AD2),"CASE 4",FALSE()))))</f>
        <v>CASE 1</v>
      </c>
      <c r="AD80">
        <f>ABS(AB76-AB$2)</f>
        <v>5.6385510000000139E-2</v>
      </c>
      <c r="AE80" s="1">
        <v>0.29078640389999999</v>
      </c>
      <c r="AF80" t="b">
        <f>IF(AND(AF76&lt;=AF2,AF76&gt;=AG2),"CASE 2",IF(AND(AG76&lt;=AF2,AG76&gt;=AG2),"CASE 1",IF(AND(AF76&gt;=AF2,AG76&lt;=AG2),"CASE 3",IF(AND(AF76&lt;=AF2,AG76&gt;=AG2),"CASE 4",FALSE()))))</f>
        <v>0</v>
      </c>
      <c r="AG80">
        <f>ABS(AE76-AE$2)</f>
        <v>0.96482766000000098</v>
      </c>
    </row>
    <row r="81" spans="1:34" x14ac:dyDescent="0.35">
      <c r="A81" s="1">
        <v>0.16786318410000001</v>
      </c>
      <c r="B81" t="str">
        <f>IF(AND(B77&lt;=B3,B77&gt;=C3),"CASE 2",IF(AND(C77&lt;=B3,C77&gt;=C3),"CASE 1",IF(AND(B77&gt;=B3,C77&lt;=C3),"CASE 3",IF(AND(B77&lt;=B3,C77&gt;=C3),"CASE 4",FALSE()))))</f>
        <v>CASE 1</v>
      </c>
      <c r="C81">
        <f>ABS(A77-A$3)</f>
        <v>0.20504903799999985</v>
      </c>
      <c r="D81" s="1">
        <v>0.39954475509999998</v>
      </c>
      <c r="E81" t="str">
        <f>IF(AND(E77&lt;=E3,E77&gt;=F3),"CASE 2",IF(AND(F77&lt;=E3,F77&gt;=F3),"CASE 1",IF(AND(E77&gt;=E3,F77&lt;=F3),"CASE 3",IF(AND(E77&lt;=E3,F77&gt;=F3),"CASE 4",FALSE()))))</f>
        <v>CASE 3</v>
      </c>
      <c r="F81">
        <f>ABS(D77-D$3)</f>
        <v>0.1654835939999999</v>
      </c>
      <c r="G81" s="1">
        <v>0.29626610240000001</v>
      </c>
      <c r="H81" t="str">
        <f>IF(AND(H77&lt;=H3,H77&gt;=I3),"CASE 2",IF(AND(I77&lt;=H3,I77&gt;=I3),"CASE 1",IF(AND(H77&gt;=H3,I77&lt;=I3),"CASE 3",IF(AND(H77&lt;=H3,I77&gt;=I3),"CASE 4",FALSE()))))</f>
        <v>CASE 3</v>
      </c>
      <c r="I81">
        <f>ABS(G77-G$3)</f>
        <v>9.230398100000059E-2</v>
      </c>
      <c r="J81" s="1">
        <v>0.22262793889999999</v>
      </c>
      <c r="K81" t="str">
        <f>IF(AND(K77&lt;=K3,K77&gt;=L3),"CASE 2",IF(AND(L77&lt;=K3,L77&gt;=L3),"CASE 1",IF(AND(K77&gt;=K3,L77&lt;=L3),"CASE 3",IF(AND(K77&lt;=K3,L77&gt;=L3),"CASE 4",FALSE()))))</f>
        <v>CASE 3</v>
      </c>
      <c r="L81">
        <f>ABS(J77-J$3)</f>
        <v>6.9925189999997528E-3</v>
      </c>
      <c r="M81" s="1">
        <v>0.79299326869999998</v>
      </c>
      <c r="N81" t="b">
        <f>IF(AND(N77&lt;=N3,N77&gt;=O3),"CASE 2",IF(AND(O77&lt;=N3,O77&gt;=O3),"CASE 1",IF(AND(N77&gt;=N3,O77&lt;=O3),"CASE 3",IF(AND(N77&lt;=N3,O77&gt;=O3),"CASE 4",FALSE()))))</f>
        <v>0</v>
      </c>
      <c r="O81">
        <f>ABS(M77-M$3)</f>
        <v>1.3224117750000004</v>
      </c>
      <c r="P81" s="1">
        <v>0.20943066660000001</v>
      </c>
      <c r="Q81" t="str">
        <f>IF(AND(Q77&lt;=Q3,Q77&gt;=R3),"CASE 2",IF(AND(R77&lt;=Q3,R77&gt;=R3),"CASE 1",IF(AND(Q77&gt;=Q3,R77&lt;=R3),"CASE 3",IF(AND(Q77&lt;=Q3,R77&gt;=R3),"CASE 4",FALSE()))))</f>
        <v>CASE 1</v>
      </c>
      <c r="R81">
        <f>ABS(P77-P$3)</f>
        <v>0.2953977589999992</v>
      </c>
      <c r="S81" s="1">
        <v>0.2150832869</v>
      </c>
      <c r="T81" t="str">
        <f>IF(AND(T77&lt;=T3,T77&gt;=U3),"CASE 2",IF(AND(U77&lt;=T3,U77&gt;=U3),"CASE 1",IF(AND(T77&gt;=T3,U77&lt;=U3),"CASE 3",IF(AND(T77&lt;=T3,U77&gt;=U3),"CASE 4",FALSE()))))</f>
        <v>CASE 3</v>
      </c>
      <c r="U81">
        <f>ABS(S77-S$3)</f>
        <v>3.2539427000000121E-2</v>
      </c>
      <c r="V81" s="1">
        <v>0.76227078140000004</v>
      </c>
      <c r="W81" t="str">
        <f>IF(AND(W77&lt;=W3,W77&gt;=X3),"CASE 2",IF(AND(X77&lt;=W3,X77&gt;=X3),"CASE 1",IF(AND(W77&gt;=W3,X77&lt;=X3),"CASE 3",IF(AND(W77&lt;=W3,X77&gt;=X3),"CASE 4",FALSE()))))</f>
        <v>CASE 3</v>
      </c>
      <c r="X81">
        <f>ABS(V77-V$3)</f>
        <v>0.21354523299999961</v>
      </c>
      <c r="Y81" s="1">
        <v>0.86727232460000003</v>
      </c>
      <c r="Z81" t="str">
        <f>IF(AND(Z77&lt;=Z3,Z77&gt;=AA3),"CASE 2",IF(AND(AA77&lt;=Z3,AA77&gt;=AA3),"CASE 1",IF(AND(Z77&gt;=Z3,AA77&lt;=AA3),"CASE 3",IF(AND(Z77&lt;=Z3,AA77&gt;=AA3),"CASE 4",FALSE()))))</f>
        <v>CASE 1</v>
      </c>
      <c r="AA81">
        <f>ABS(Y77-Y$3)</f>
        <v>0.56013043199999935</v>
      </c>
      <c r="AB81" s="1">
        <v>0.60377624689999998</v>
      </c>
      <c r="AC81" t="str">
        <f>IF(AND(AC77&lt;=AC3,AC77&gt;=AD3),"CASE 2",IF(AND(AD77&lt;=AC3,AD77&gt;=AD3),"CASE 1",IF(AND(AC77&gt;=AC3,AD77&lt;=AD3),"CASE 3",IF(AND(AC77&lt;=AC3,AD77&gt;=AD3),"CASE 4",FALSE()))))</f>
        <v>CASE 1</v>
      </c>
      <c r="AD81">
        <f>ABS(AB77-AB$3)</f>
        <v>0.84688705199999958</v>
      </c>
      <c r="AE81" s="1">
        <v>2.3601143709999999</v>
      </c>
      <c r="AF81" t="b">
        <f>IF(AND(AF77&lt;=AF3,AF77&gt;=AG3),"CASE 2",IF(AND(AG77&lt;=AF3,AG77&gt;=AG3),"CASE 1",IF(AND(AF77&gt;=AF3,AG77&lt;=AG3),"CASE 3",IF(AND(AF77&lt;=AF3,AG77&gt;=AG3),"CASE 4",FALSE()))))</f>
        <v>0</v>
      </c>
      <c r="AG81">
        <f>ABS(AE77-AE$3)</f>
        <v>14.742439032</v>
      </c>
    </row>
    <row r="82" spans="1:34" x14ac:dyDescent="0.35">
      <c r="A82" s="1">
        <v>8.1616997090000004E-2</v>
      </c>
      <c r="B82" t="str">
        <f>IF(AND(B78&lt;=B4,B78&gt;=C4),"CASE 2",IF(AND(C78&lt;=B4,C78&gt;=C4),"CASE 1",IF(AND(B78&gt;=B4,C78&lt;=C4),"CASE 3",IF(AND(B78&lt;=B4,C78&gt;=C4),"CASE 4",FALSE()))))</f>
        <v>CASE 2</v>
      </c>
      <c r="C82">
        <f>ABS(A78-A$4)</f>
        <v>9.4418178999999824E-2</v>
      </c>
      <c r="D82" s="1">
        <v>0.55440618149999998</v>
      </c>
      <c r="E82" t="str">
        <f>IF(AND(E78&lt;=E4,E78&gt;=F4),"CASE 2",IF(AND(F78&lt;=E4,F78&gt;=F4),"CASE 1",IF(AND(E78&gt;=E4,F78&lt;=F4),"CASE 3",IF(AND(E78&lt;=E4,F78&gt;=F4),"CASE 4",FALSE()))))</f>
        <v>CASE 2</v>
      </c>
      <c r="F82">
        <f>ABS(D78-D$4)</f>
        <v>0.40967462899999996</v>
      </c>
      <c r="G82" s="1">
        <v>8.2192856329999994E-2</v>
      </c>
      <c r="H82" t="str">
        <f>IF(AND(H78&lt;=H4,H78&gt;=I4),"CASE 2",IF(AND(I78&lt;=H4,I78&gt;=I4),"CASE 1",IF(AND(H78&gt;=H4,I78&lt;=I4),"CASE 3",IF(AND(H78&lt;=H4,I78&gt;=I4),"CASE 4",FALSE()))))</f>
        <v>CASE 3</v>
      </c>
      <c r="I82">
        <f>ABS(G78-G$4)</f>
        <v>3.9403945000000107E-2</v>
      </c>
      <c r="J82" s="1">
        <v>0.2099208303</v>
      </c>
      <c r="K82" t="str">
        <f>IF(AND(K78&lt;=K4,K78&gt;=L4),"CASE 2",IF(AND(L78&lt;=K4,L78&gt;=L4),"CASE 1",IF(AND(K78&gt;=K4,L78&lt;=L4),"CASE 3",IF(AND(K78&lt;=K4,L78&gt;=L4),"CASE 4",FALSE()))))</f>
        <v>CASE 1</v>
      </c>
      <c r="L82">
        <f>ABS(J78-J$4)</f>
        <v>0.1802128319999996</v>
      </c>
      <c r="M82" s="1">
        <v>1.0738160779999999</v>
      </c>
      <c r="N82" t="str">
        <f>IF(AND(N78&lt;=N4,N78&gt;=O4),"CASE 2",IF(AND(O78&lt;=N4,O78&gt;=O4),"CASE 1",IF(AND(N78&gt;=N4,O78&lt;=O4),"CASE 3",IF(AND(N78&lt;=N4,O78&gt;=O4),"CASE 4",FALSE()))))</f>
        <v>CASE 1</v>
      </c>
      <c r="O82">
        <f>ABS(M78-M$4)</f>
        <v>1.2190500419999999</v>
      </c>
      <c r="P82" s="1">
        <v>0.2715003936</v>
      </c>
      <c r="Q82" t="b">
        <f>IF(AND(Q78&lt;=Q4,Q78&gt;=R4),"CASE 2",IF(AND(R78&lt;=Q4,R78&gt;=R4),"CASE 1",IF(AND(Q78&gt;=Q4,R78&lt;=R4),"CASE 3",IF(AND(Q78&lt;=Q4,R78&gt;=R4),"CASE 4",FALSE()))))</f>
        <v>0</v>
      </c>
      <c r="R82">
        <f>ABS(P78-P$4)</f>
        <v>0.47112604799999991</v>
      </c>
      <c r="S82" s="1">
        <v>0.145165922</v>
      </c>
      <c r="T82" t="str">
        <f>IF(AND(T78&lt;=T4,T78&gt;=U4),"CASE 2",IF(AND(U78&lt;=T4,U78&gt;=U4),"CASE 1",IF(AND(T78&gt;=T4,U78&lt;=U4),"CASE 3",IF(AND(T78&lt;=T4,U78&gt;=U4),"CASE 4",FALSE()))))</f>
        <v>CASE 3</v>
      </c>
      <c r="U82">
        <f>ABS(S78-S$4)</f>
        <v>8.2072760000002631E-3</v>
      </c>
      <c r="V82" s="1">
        <v>0.24924565200000001</v>
      </c>
      <c r="W82" t="str">
        <f>IF(AND(W78&lt;=W4,W78&gt;=X4),"CASE 2",IF(AND(X78&lt;=W4,X78&gt;=X4),"CASE 1",IF(AND(W78&gt;=W4,X78&lt;=X4),"CASE 3",IF(AND(W78&lt;=W4,X78&gt;=X4),"CASE 4",FALSE()))))</f>
        <v>CASE 1</v>
      </c>
      <c r="X82">
        <f>ABS(V78-V$4)</f>
        <v>0.23386120100000007</v>
      </c>
      <c r="Y82" s="1">
        <v>0.39820574930000002</v>
      </c>
      <c r="Z82" t="str">
        <f>IF(AND(Z78&lt;=Z4,Z78&gt;=AA4),"CASE 2",IF(AND(AA78&lt;=Z4,AA78&gt;=AA4),"CASE 1",IF(AND(Z78&gt;=Z4,AA78&lt;=AA4),"CASE 3",IF(AND(Z78&lt;=Z4,AA78&gt;=AA4),"CASE 4",FALSE()))))</f>
        <v>CASE 3</v>
      </c>
      <c r="AA82">
        <f>ABS(Y78-Y$4)</f>
        <v>7.8742220999999946E-2</v>
      </c>
      <c r="AB82" s="1">
        <v>0.954028934</v>
      </c>
      <c r="AC82" t="str">
        <f>IF(AND(AC78&lt;=AC4,AC78&gt;=AD4),"CASE 2",IF(AND(AD78&lt;=AC4,AD78&gt;=AD4),"CASE 1",IF(AND(AC78&gt;=AC4,AD78&lt;=AD4),"CASE 3",IF(AND(AC78&lt;=AC4,AD78&gt;=AD4),"CASE 4",FALSE()))))</f>
        <v>CASE 3</v>
      </c>
      <c r="AD82">
        <f>ABS(AB78-AB$4)</f>
        <v>2.7773472999999882E-2</v>
      </c>
      <c r="AE82" s="1">
        <v>0.72206429289999996</v>
      </c>
      <c r="AF82" t="str">
        <f>IF(AND(AF78&lt;=AF4,AF78&gt;=AG4),"CASE 2",IF(AND(AG78&lt;=AF4,AG78&gt;=AG4),"CASE 1",IF(AND(AF78&gt;=AF4,AG78&lt;=AG4),"CASE 3",IF(AND(AF78&lt;=AF4,AG78&gt;=AG4),"CASE 4",FALSE()))))</f>
        <v>CASE 1</v>
      </c>
      <c r="AG82">
        <f>ABS(AE78-AE$4)</f>
        <v>1.0222900130000001</v>
      </c>
    </row>
    <row r="83" spans="1:34" x14ac:dyDescent="0.35">
      <c r="A83" s="1">
        <v>6.3188013419999994E-2</v>
      </c>
      <c r="B83" t="str">
        <f>IF(AND(B79&lt;=B5,B79&gt;=C5),"CASE 2",IF(AND(C79&lt;=B5,C79&gt;=C5),"CASE 1",IF(AND(B79&gt;=B5,C79&lt;=C5),"CASE 3",IF(AND(B79&lt;=B5,C79&gt;=C5),"CASE 4",FALSE()))))</f>
        <v>CASE 1</v>
      </c>
      <c r="C83">
        <f>ABS(A79-A$5)</f>
        <v>4.9366000999999882E-2</v>
      </c>
      <c r="D83" s="1">
        <v>0.18019631250000001</v>
      </c>
      <c r="E83" t="str">
        <f>IF(AND(E79&lt;=E5,E79&gt;=F5),"CASE 2",IF(AND(F79&lt;=E5,F79&gt;=F5),"CASE 1",IF(AND(E79&gt;=E5,F79&lt;=F5),"CASE 3",IF(AND(E79&lt;=E5,F79&gt;=F5),"CASE 4",FALSE()))))</f>
        <v>CASE 3</v>
      </c>
      <c r="F83">
        <f>ABS(D79-D$5)</f>
        <v>3.5597800999999984E-2</v>
      </c>
      <c r="G83" s="1">
        <v>0.1713843491</v>
      </c>
      <c r="H83" t="str">
        <f>IF(AND(H79&lt;=H5,H79&gt;=I5),"CASE 2",IF(AND(I79&lt;=H5,I79&gt;=I5),"CASE 1",IF(AND(H79&gt;=H5,I79&lt;=I5),"CASE 3",IF(AND(H79&lt;=H5,I79&gt;=I5),"CASE 4",FALSE()))))</f>
        <v>CASE 3</v>
      </c>
      <c r="I83">
        <f>ABS(G79-G$5)</f>
        <v>7.6245070000000581E-3</v>
      </c>
      <c r="J83" s="1">
        <v>9.0814523389999999E-2</v>
      </c>
      <c r="K83" t="str">
        <f>IF(AND(K79&lt;=K5,K79&gt;=L5),"CASE 2",IF(AND(L79&lt;=K5,L79&gt;=L5),"CASE 1",IF(AND(K79&gt;=K5,L79&lt;=L5),"CASE 3",IF(AND(K79&lt;=K5,L79&gt;=L5),"CASE 4",FALSE()))))</f>
        <v>CASE 3</v>
      </c>
      <c r="L83">
        <f>ABS(J79-J$5)</f>
        <v>8.5056500000013635E-4</v>
      </c>
      <c r="M83" s="1">
        <v>0.30479427619999999</v>
      </c>
      <c r="N83" t="str">
        <f>IF(AND(N79&lt;=N5,N79&gt;=O5),"CASE 2",IF(AND(O79&lt;=N5,O79&gt;=O5),"CASE 1",IF(AND(N79&gt;=N5,O79&lt;=O5),"CASE 3",IF(AND(N79&lt;=N5,O79&gt;=O5),"CASE 4",FALSE()))))</f>
        <v>CASE 1</v>
      </c>
      <c r="O83">
        <f>ABS(M79-M$5)</f>
        <v>0.28188371599999984</v>
      </c>
      <c r="P83" s="1">
        <v>0.1049123392</v>
      </c>
      <c r="Q83" t="str">
        <f>IF(AND(Q79&lt;=Q5,Q79&gt;=R5),"CASE 2",IF(AND(R79&lt;=Q5,R79&gt;=R5),"CASE 1",IF(AND(Q79&gt;=Q5,R79&lt;=R5),"CASE 3",IF(AND(Q79&lt;=Q5,R79&gt;=R5),"CASE 4",FALSE()))))</f>
        <v>CASE 3</v>
      </c>
      <c r="R83">
        <f>ABS(P79-P$5)</f>
        <v>2.0666122000000176E-2</v>
      </c>
      <c r="S83" s="1">
        <v>9.654173143E-2</v>
      </c>
      <c r="T83" t="str">
        <f>IF(AND(T79&lt;=T5,T79&gt;=U5),"CASE 2",IF(AND(U79&lt;=T5,U79&gt;=U5),"CASE 1",IF(AND(T79&gt;=T5,U79&lt;=U5),"CASE 3",IF(AND(T79&lt;=T5,U79&gt;=U5),"CASE 4",FALSE()))))</f>
        <v>CASE 3</v>
      </c>
      <c r="U83">
        <f>ABS(S79-S$5)</f>
        <v>7.9393400000005165E-4</v>
      </c>
      <c r="V83" s="1">
        <v>0.32669257219999998</v>
      </c>
      <c r="W83" t="str">
        <f>IF(AND(W79&lt;=W5,W79&gt;=X5),"CASE 2",IF(AND(X79&lt;=W5,X79&gt;=X5),"CASE 1",IF(AND(W79&gt;=W5,X79&lt;=X5),"CASE 3",IF(AND(W79&lt;=W5,X79&gt;=X5),"CASE 4",FALSE()))))</f>
        <v>CASE 3</v>
      </c>
      <c r="X83">
        <f>ABS(V79-V$5)</f>
        <v>1.4600276999999995E-2</v>
      </c>
      <c r="Y83" s="1">
        <v>0.30441161770000003</v>
      </c>
      <c r="Z83" t="str">
        <f>IF(AND(Z79&lt;=Z5,Z79&gt;=AA5),"CASE 2",IF(AND(AA79&lt;=Z5,AA79&gt;=AA5),"CASE 1",IF(AND(Z79&gt;=Z5,AA79&lt;=AA5),"CASE 3",IF(AND(Z79&lt;=Z5,AA79&gt;=AA5),"CASE 4",FALSE()))))</f>
        <v>CASE 1</v>
      </c>
      <c r="AA83">
        <f>ABS(Y79-Y$5)</f>
        <v>0.15382823400000012</v>
      </c>
      <c r="AB83" s="1">
        <v>0.31446318099999998</v>
      </c>
      <c r="AC83" t="str">
        <f>IF(AND(AC79&lt;=AC5,AC79&gt;=AD5),"CASE 2",IF(AND(AD79&lt;=AC5,AD79&gt;=AD5),"CASE 1",IF(AND(AC79&gt;=AC5,AD79&lt;=AD5),"CASE 3",IF(AND(AC79&lt;=AC5,AD79&gt;=AD5),"CASE 4",FALSE()))))</f>
        <v>CASE 3</v>
      </c>
      <c r="AD83">
        <f>ABS(AB79-AB$5)</f>
        <v>7.3702000000119838E-5</v>
      </c>
      <c r="AE83" s="1">
        <v>1.5439465219999999</v>
      </c>
      <c r="AF83" t="str">
        <f>IF(AND(AF79&lt;=AF5,AF79&gt;=AG5),"CASE 2",IF(AND(AG79&lt;=AF5,AG79&gt;=AG5),"CASE 1",IF(AND(AF79&gt;=AF5,AG79&lt;=AG5),"CASE 3",IF(AND(AF79&lt;=AF5,AG79&gt;=AG5),"CASE 4",FALSE()))))</f>
        <v>CASE 3</v>
      </c>
      <c r="AG83">
        <f>ABS(AE79-AE$5)</f>
        <v>0.90595626899999981</v>
      </c>
      <c r="AH83" t="s">
        <v>17</v>
      </c>
    </row>
    <row r="84" spans="1:34" x14ac:dyDescent="0.35">
      <c r="B84" t="s">
        <v>16</v>
      </c>
      <c r="C84">
        <f>SUM(C80:C83)</f>
        <v>0.42245311800000018</v>
      </c>
      <c r="E84" t="s">
        <v>16</v>
      </c>
      <c r="F84">
        <f>SUM(F80:F83)</f>
        <v>0.7492207140000009</v>
      </c>
      <c r="H84" t="s">
        <v>16</v>
      </c>
      <c r="I84">
        <f>SUM(I80:I83)</f>
        <v>0.1435207329999999</v>
      </c>
      <c r="K84" t="s">
        <v>16</v>
      </c>
      <c r="L84">
        <f>SUM(L80:L83)</f>
        <v>0.2280464059999987</v>
      </c>
      <c r="N84" t="s">
        <v>16</v>
      </c>
      <c r="O84">
        <f>SUM(O80:O83)</f>
        <v>3.0807985830000004</v>
      </c>
      <c r="Q84" t="s">
        <v>16</v>
      </c>
      <c r="R84">
        <f>SUM(R80:R83)</f>
        <v>0.92953401899999921</v>
      </c>
      <c r="T84" t="s">
        <v>16</v>
      </c>
      <c r="U84">
        <f>SUM(U80:U83)</f>
        <v>5.6953917000001075E-2</v>
      </c>
      <c r="W84" t="s">
        <v>16</v>
      </c>
      <c r="X84">
        <f>SUM(X80:X83)</f>
        <v>0.52781310099999845</v>
      </c>
      <c r="Z84" t="s">
        <v>16</v>
      </c>
      <c r="AA84">
        <f>SUM(AA80:AA83)</f>
        <v>0.82110500699999878</v>
      </c>
      <c r="AC84" t="s">
        <v>16</v>
      </c>
      <c r="AD84">
        <f>SUM(AD80:AD83)</f>
        <v>0.93111973699999973</v>
      </c>
      <c r="AF84" t="s">
        <v>16</v>
      </c>
      <c r="AG84">
        <f>SUM(AG80:AG83)</f>
        <v>17.635512974000001</v>
      </c>
      <c r="AH84">
        <f>SUM(F80:F83,C80:C83,I80:I83,L80:L83,O80:O83,R80:R83,U80:U83,X80:X83,AA80:AA83,AD80:AD83)</f>
        <v>7.8905653349999962</v>
      </c>
    </row>
    <row r="85" spans="1:34" x14ac:dyDescent="0.35">
      <c r="A85" s="1" t="s">
        <v>18</v>
      </c>
    </row>
    <row r="86" spans="1:34" x14ac:dyDescent="0.35">
      <c r="A86" s="1">
        <v>16.389358519999998</v>
      </c>
      <c r="B86">
        <f>A86+A90</f>
        <v>16.412494876829999</v>
      </c>
      <c r="C86">
        <f>A86-A90</f>
        <v>16.366222163169997</v>
      </c>
      <c r="D86" s="1">
        <v>15.50137329</v>
      </c>
      <c r="E86">
        <f>D86+D90</f>
        <v>15.6513014654</v>
      </c>
      <c r="F86">
        <f>D86-D90</f>
        <v>15.351445114600001</v>
      </c>
      <c r="G86" s="1">
        <v>15.90606689</v>
      </c>
      <c r="H86">
        <f>G86+G90</f>
        <v>15.935912654679999</v>
      </c>
      <c r="I86">
        <f>G86-G90</f>
        <v>15.876221125320001</v>
      </c>
      <c r="J86" s="1">
        <v>15.94796753</v>
      </c>
      <c r="K86">
        <f>J86+J90</f>
        <v>15.99452350954</v>
      </c>
      <c r="L86">
        <f>J86-J90</f>
        <v>15.901411550459999</v>
      </c>
      <c r="M86" s="1">
        <v>15.820037839999999</v>
      </c>
      <c r="N86">
        <f>M86+M90</f>
        <v>15.9786922494</v>
      </c>
      <c r="O86">
        <f>M86-M90</f>
        <v>15.661383430599999</v>
      </c>
      <c r="P86" s="1">
        <v>15.748764039999999</v>
      </c>
      <c r="Q86">
        <f>P86+P90</f>
        <v>15.80108941744</v>
      </c>
      <c r="R86">
        <f>P86-P90</f>
        <v>15.696438662559999</v>
      </c>
      <c r="S86" s="1">
        <v>16.078094480000001</v>
      </c>
      <c r="T86">
        <f>S86+S90</f>
        <v>16.108586929960001</v>
      </c>
      <c r="U86">
        <f>S86-S90</f>
        <v>16.04760203004</v>
      </c>
      <c r="V86" s="1">
        <v>15.58953857</v>
      </c>
      <c r="W86">
        <f>V86+V90</f>
        <v>15.67679027508</v>
      </c>
      <c r="X86">
        <f>V86-V90</f>
        <v>15.50228686492</v>
      </c>
      <c r="Y86" s="1">
        <v>14.82821655</v>
      </c>
      <c r="Z86">
        <f>Y86+Y90</f>
        <v>14.906979983900001</v>
      </c>
      <c r="AA86">
        <f>Y86-Y90</f>
        <v>14.7494531161</v>
      </c>
      <c r="AB86" s="1">
        <v>15.01379395</v>
      </c>
      <c r="AC86">
        <f>AB86+AB90</f>
        <v>15.1413228933</v>
      </c>
      <c r="AD86">
        <f>AB86-AB90</f>
        <v>14.8862650067</v>
      </c>
    </row>
    <row r="87" spans="1:34" x14ac:dyDescent="0.35">
      <c r="A87" s="1">
        <v>4.4899139400000001</v>
      </c>
      <c r="B87">
        <f>A87+A91</f>
        <v>4.7323604458000004</v>
      </c>
      <c r="C87">
        <f>A87-A91</f>
        <v>4.2474674341999998</v>
      </c>
      <c r="D87" s="1">
        <v>3.6927795410000002</v>
      </c>
      <c r="E87">
        <f>D87+D91</f>
        <v>4.0319987590000004</v>
      </c>
      <c r="F87">
        <f>D87-D91</f>
        <v>3.353560323</v>
      </c>
      <c r="G87" s="1">
        <v>4.3386154169999998</v>
      </c>
      <c r="H87">
        <f>G87+G91</f>
        <v>4.5858657183</v>
      </c>
      <c r="I87">
        <f>G87-G91</f>
        <v>4.0913651156999995</v>
      </c>
      <c r="J87" s="1">
        <v>4.357307434</v>
      </c>
      <c r="K87">
        <f>J87+J91</f>
        <v>4.5389335072000003</v>
      </c>
      <c r="L87">
        <f>J87-J91</f>
        <v>4.1756813607999996</v>
      </c>
      <c r="M87" s="1">
        <v>4.3693237299999996</v>
      </c>
      <c r="N87">
        <f>M87+M91</f>
        <v>5.0309012574</v>
      </c>
      <c r="O87">
        <f>M87-M91</f>
        <v>3.7077462025999997</v>
      </c>
      <c r="P87" s="1">
        <v>4.7613983150000001</v>
      </c>
      <c r="Q87">
        <f>P87+P91</f>
        <v>4.9357047382000001</v>
      </c>
      <c r="R87">
        <f>P87-P91</f>
        <v>4.5870918918000001</v>
      </c>
      <c r="S87" s="1">
        <v>3.9794769290000001</v>
      </c>
      <c r="T87">
        <f>S87+S91</f>
        <v>4.1470458345000001</v>
      </c>
      <c r="U87">
        <f>S87-S91</f>
        <v>3.8119080235</v>
      </c>
      <c r="V87" s="1">
        <v>3.49168396</v>
      </c>
      <c r="W87">
        <f>V87+V91</f>
        <v>3.8282191786999999</v>
      </c>
      <c r="X87">
        <f>V87-V91</f>
        <v>3.1551487413000001</v>
      </c>
      <c r="Y87" s="1">
        <v>4.4418640140000001</v>
      </c>
      <c r="Z87">
        <f>Y87+Y91</f>
        <v>5.1276274265000001</v>
      </c>
      <c r="AA87">
        <f>Y87-Y91</f>
        <v>3.7561006015</v>
      </c>
      <c r="AB87" s="1">
        <v>5.3202514650000001</v>
      </c>
      <c r="AC87">
        <f>AB87+AB91</f>
        <v>5.8241012423000003</v>
      </c>
      <c r="AD87">
        <f>AB87-AB91</f>
        <v>4.8164016877</v>
      </c>
    </row>
    <row r="88" spans="1:34" x14ac:dyDescent="0.35">
      <c r="A88" s="1">
        <v>3.088779449</v>
      </c>
      <c r="B88">
        <f>A88+A92</f>
        <v>3.1894507018999998</v>
      </c>
      <c r="C88">
        <f>A88-A92</f>
        <v>2.9881081961000002</v>
      </c>
      <c r="D88" s="1">
        <v>2.2282629009999999</v>
      </c>
      <c r="E88">
        <f>D88+D92</f>
        <v>2.6968942708999997</v>
      </c>
      <c r="F88">
        <f>D88-D92</f>
        <v>1.7596315310999999</v>
      </c>
      <c r="G88" s="1">
        <v>1.165804863</v>
      </c>
      <c r="H88">
        <f>G88+G92</f>
        <v>1.2336751240099999</v>
      </c>
      <c r="I88">
        <f>G88-G92</f>
        <v>1.09793460199</v>
      </c>
      <c r="J88" s="1">
        <v>2.3715333940000001</v>
      </c>
      <c r="K88">
        <f>J88+J92</f>
        <v>2.5544624865000003</v>
      </c>
      <c r="L88">
        <f>J88-J92</f>
        <v>2.1886043014999998</v>
      </c>
      <c r="M88" s="1">
        <v>3.2502975460000001</v>
      </c>
      <c r="N88">
        <f>M88+M92</f>
        <v>4.1623934523999999</v>
      </c>
      <c r="O88">
        <f>M88-M92</f>
        <v>2.3382016396000003</v>
      </c>
      <c r="P88" s="1">
        <v>2.9769458769999999</v>
      </c>
      <c r="Q88">
        <f>P88+P92</f>
        <v>3.2034116729999997</v>
      </c>
      <c r="R88">
        <f>P88-P92</f>
        <v>2.7504800810000001</v>
      </c>
      <c r="S88" s="1">
        <v>1.8709754940000001</v>
      </c>
      <c r="T88">
        <f>S88+S92</f>
        <v>1.9725150061000001</v>
      </c>
      <c r="U88">
        <f>S88-S92</f>
        <v>1.7694359819000001</v>
      </c>
      <c r="V88" s="1">
        <v>2.5704765319999998</v>
      </c>
      <c r="W88">
        <f>V88+V92</f>
        <v>3.0059089092</v>
      </c>
      <c r="X88">
        <f>V88-V92</f>
        <v>2.1350441547999996</v>
      </c>
      <c r="Y88" s="1">
        <v>1.9340801240000001</v>
      </c>
      <c r="Z88">
        <f>Y88+Y92</f>
        <v>2.2628632740999999</v>
      </c>
      <c r="AA88">
        <f>Y88-Y92</f>
        <v>1.6052969739</v>
      </c>
      <c r="AB88" s="1">
        <v>3.2493381499999998</v>
      </c>
      <c r="AC88">
        <f>AB88+AB92</f>
        <v>4.0479321482000001</v>
      </c>
      <c r="AD88">
        <f>AB88-AB92</f>
        <v>2.4507441517999999</v>
      </c>
    </row>
    <row r="89" spans="1:34" x14ac:dyDescent="0.35">
      <c r="A89" s="1">
        <v>1.9787902829999999</v>
      </c>
      <c r="B89">
        <f>A89+A93</f>
        <v>2.0475509468299999</v>
      </c>
      <c r="C89">
        <f>A89-A93</f>
        <v>1.9100296191699999</v>
      </c>
      <c r="D89" s="1">
        <v>1.81678772</v>
      </c>
      <c r="E89">
        <f>D89+D93</f>
        <v>1.9691770008</v>
      </c>
      <c r="F89">
        <f>D89-D93</f>
        <v>1.6643984392</v>
      </c>
      <c r="G89" s="1">
        <v>1.944946289</v>
      </c>
      <c r="H89">
        <f>G89+G93</f>
        <v>2.0889718247000002</v>
      </c>
      <c r="I89">
        <f>G89-G93</f>
        <v>1.8009207533</v>
      </c>
      <c r="J89" s="1">
        <v>1.910385132</v>
      </c>
      <c r="K89">
        <f>J89+J93</f>
        <v>1.98826478103</v>
      </c>
      <c r="L89">
        <f>J89-J93</f>
        <v>1.83250548297</v>
      </c>
      <c r="M89" s="1">
        <v>2.291030884</v>
      </c>
      <c r="N89">
        <f>M89+M93</f>
        <v>2.5477075802</v>
      </c>
      <c r="O89">
        <f>M89-M93</f>
        <v>2.0343541878</v>
      </c>
      <c r="P89" s="1">
        <v>2.0518493649999998</v>
      </c>
      <c r="Q89">
        <f>P89+P93</f>
        <v>2.14066672001</v>
      </c>
      <c r="R89">
        <f>P89-P93</f>
        <v>1.9630320099899998</v>
      </c>
      <c r="S89" s="1">
        <v>1.6499328609999999</v>
      </c>
      <c r="T89">
        <f>S89+S93</f>
        <v>1.7290377457799999</v>
      </c>
      <c r="U89">
        <f>S89-S93</f>
        <v>1.5708279762199999</v>
      </c>
      <c r="V89" s="1">
        <v>1.9355926510000001</v>
      </c>
      <c r="W89">
        <f>V89+V93</f>
        <v>2.1166375162</v>
      </c>
      <c r="X89">
        <f>V89-V93</f>
        <v>1.7545477858</v>
      </c>
      <c r="Y89" s="1">
        <v>1.9301300050000001</v>
      </c>
      <c r="Z89">
        <f>Y89+Y93</f>
        <v>2.1703449145000002</v>
      </c>
      <c r="AA89">
        <f>Y89-Y93</f>
        <v>1.6899150955000002</v>
      </c>
      <c r="AB89" s="1">
        <v>1.7123565670000001</v>
      </c>
      <c r="AC89">
        <f>AB89+AB93</f>
        <v>1.9762396406</v>
      </c>
      <c r="AD89">
        <f>AB89-AB93</f>
        <v>1.4484734934000001</v>
      </c>
    </row>
    <row r="90" spans="1:34" x14ac:dyDescent="0.35">
      <c r="A90" s="1">
        <v>2.313635683E-2</v>
      </c>
      <c r="B90" t="str">
        <f>IF(AND(B86&lt;=B2,B86&gt;=C2),"CASE 2",IF(AND(C86&lt;=B2,C86&gt;=C2),"CASE 1",IF(AND(B86&gt;=B2,C86&lt;=C2),"CASE 3",IF(AND(B86&lt;=B2,C86&gt;=C2),"CASE 4",FALSE()))))</f>
        <v>CASE 2</v>
      </c>
      <c r="C90">
        <f>ABS(A86-A$2)</f>
        <v>2.8555870000001704E-2</v>
      </c>
      <c r="D90" s="1">
        <v>0.1499281754</v>
      </c>
      <c r="E90" t="str">
        <f>IF(AND(E86&lt;=E2,E86&gt;=F2),"CASE 2",IF(AND(F86&lt;=E2,F86&gt;=F2),"CASE 1",IF(AND(E86&gt;=E2,F86&lt;=F2),"CASE 3",IF(AND(E86&lt;=E2,F86&gt;=F2),"CASE 4",FALSE()))))</f>
        <v>CASE 2</v>
      </c>
      <c r="F90">
        <f>ABS(D86-D$2)</f>
        <v>9.6793890000000715E-2</v>
      </c>
      <c r="G90" s="1">
        <v>2.9845764680000001E-2</v>
      </c>
      <c r="H90" t="str">
        <f>IF(AND(H86&lt;=H2,H86&gt;=I2),"CASE 2",IF(AND(I86&lt;=H2,I86&gt;=I2),"CASE 1",IF(AND(H86&gt;=H2,I86&lt;=I2),"CASE 3",IF(AND(H86&lt;=H2,I86&gt;=I2),"CASE 4",FALSE()))))</f>
        <v>CASE 3</v>
      </c>
      <c r="I90">
        <f>ABS(G86-G$2)</f>
        <v>6.3903300000003327E-3</v>
      </c>
      <c r="J90" s="1">
        <v>4.655597954E-2</v>
      </c>
      <c r="K90" t="str">
        <f>IF(AND(K86&lt;=K2,K86&gt;=L2),"CASE 2",IF(AND(L86&lt;=K2,L86&gt;=L2),"CASE 1",IF(AND(K86&gt;=K2,L86&lt;=L2),"CASE 3",IF(AND(K86&lt;=K2,L86&gt;=L2),"CASE 4",FALSE()))))</f>
        <v>CASE 1</v>
      </c>
      <c r="L90">
        <f>ABS(J86-J$2)</f>
        <v>7.7563469999999413E-2</v>
      </c>
      <c r="M90" s="1">
        <v>0.1586544094</v>
      </c>
      <c r="N90" t="b">
        <f>IF(AND(N86&lt;=N2,N86&gt;=O2),"CASE 2",IF(AND(O86&lt;=N2,O86&gt;=O2),"CASE 1",IF(AND(N86&gt;=N2,O86&lt;=O2),"CASE 3",IF(AND(N86&lt;=N2,O86&gt;=O2),"CASE 4",FALSE()))))</f>
        <v>0</v>
      </c>
      <c r="O90">
        <f>ABS(M86-M$2)</f>
        <v>0.26766454999999922</v>
      </c>
      <c r="P90" s="1">
        <v>5.2325377440000001E-2</v>
      </c>
      <c r="Q90" t="b">
        <f>IF(AND(Q86&lt;=Q2,Q86&gt;=R2),"CASE 2",IF(AND(R86&lt;=Q2,R86&gt;=R2),"CASE 1",IF(AND(Q86&gt;=Q2,R86&lt;=R2),"CASE 3",IF(AND(Q86&lt;=Q2,R86&gt;=R2),"CASE 4",FALSE()))))</f>
        <v>0</v>
      </c>
      <c r="R90">
        <f>ABS(P86-P$2)</f>
        <v>0.15565630999999946</v>
      </c>
      <c r="S90" s="1">
        <v>3.0492449960000001E-2</v>
      </c>
      <c r="T90" t="str">
        <f>IF(AND(T86&lt;=T2,T86&gt;=U2),"CASE 2",IF(AND(U86&lt;=T2,U86&gt;=U2),"CASE 1",IF(AND(T86&gt;=T2,U86&lt;=U2),"CASE 3",IF(AND(T86&lt;=T2,U86&gt;=U2),"CASE 4",FALSE()))))</f>
        <v>CASE 2</v>
      </c>
      <c r="U90">
        <f>ABS(S86-S$2)</f>
        <v>3.1136870000000982E-2</v>
      </c>
      <c r="V90" s="1">
        <v>8.7251705080000005E-2</v>
      </c>
      <c r="W90" t="b">
        <f>IF(AND(W86&lt;=W2,W86&gt;=X2),"CASE 2",IF(AND(X86&lt;=W2,X86&gt;=X2),"CASE 1",IF(AND(W86&gt;=W2,X86&lt;=X2),"CASE 3",IF(AND(W86&lt;=W2,X86&gt;=X2),"CASE 4",FALSE()))))</f>
        <v>0</v>
      </c>
      <c r="X90">
        <f>ABS(V86-V$2)</f>
        <v>0.1662464099999994</v>
      </c>
      <c r="Y90" s="1">
        <v>7.8763433899999999E-2</v>
      </c>
      <c r="Z90" t="str">
        <f>IF(AND(Z86&lt;=Z2,Z86&gt;=AA2),"CASE 2",IF(AND(AA86&lt;=Z2,AA86&gt;=AA2),"CASE 1",IF(AND(Z86&gt;=Z2,AA86&lt;=AA2),"CASE 3",IF(AND(Z86&lt;=Z2,AA86&gt;=AA2),"CASE 4",FALSE()))))</f>
        <v>CASE 1</v>
      </c>
      <c r="AA90">
        <f>ABS(Y86-Y$2)</f>
        <v>3.9108040000000344E-2</v>
      </c>
      <c r="AB90" s="1">
        <v>0.1275289433</v>
      </c>
      <c r="AC90" t="str">
        <f>IF(AND(AC86&lt;=AC2,AC86&gt;=AD2),"CASE 2",IF(AND(AD86&lt;=AC2,AD86&gt;=AD2),"CASE 1",IF(AND(AC86&gt;=AC2,AD86&lt;=AD2),"CASE 3",IF(AND(AC86&lt;=AC2,AD86&gt;=AD2),"CASE 4",FALSE()))))</f>
        <v>CASE 1</v>
      </c>
      <c r="AD90">
        <f>ABS(AB86-AB$2)</f>
        <v>5.830586000000082E-2</v>
      </c>
      <c r="AE90"/>
    </row>
    <row r="91" spans="1:34" x14ac:dyDescent="0.35">
      <c r="A91" s="1">
        <v>0.24244650579999999</v>
      </c>
      <c r="B91" t="b">
        <f>IF(AND(B87&lt;=B3,B87&gt;=C3),"CASE 2",IF(AND(C87&lt;=B3,C87&gt;=C3),"CASE 1",IF(AND(B87&gt;=B3,C87&lt;=C3),"CASE 3",IF(AND(B87&lt;=B3,C87&gt;=C3),"CASE 4",FALSE()))))</f>
        <v>0</v>
      </c>
      <c r="C91">
        <f>ABS(A87-A$3)</f>
        <v>0.54995703699999998</v>
      </c>
      <c r="D91" s="1">
        <v>0.33921921799999999</v>
      </c>
      <c r="E91" t="str">
        <f>IF(AND(E87&lt;=E3,E87&gt;=F3),"CASE 2",IF(AND(F87&lt;=E3,F87&gt;=F3),"CASE 1",IF(AND(E87&gt;=E3,F87&lt;=F3),"CASE 3",IF(AND(E87&lt;=E3,F87&gt;=F3),"CASE 4",FALSE()))))</f>
        <v>CASE 1</v>
      </c>
      <c r="F91">
        <f>ABS(D87-D$3)</f>
        <v>0.23354798600000004</v>
      </c>
      <c r="G91" s="1">
        <v>0.2472503013</v>
      </c>
      <c r="H91" t="str">
        <f>IF(AND(H87&lt;=H3,H87&gt;=I3),"CASE 2",IF(AND(I87&lt;=H3,I87&gt;=I3),"CASE 1",IF(AND(H87&gt;=H3,I87&lt;=I3),"CASE 3",IF(AND(H87&lt;=H3,I87&gt;=I3),"CASE 4",FALSE()))))</f>
        <v>CASE 1</v>
      </c>
      <c r="I91">
        <f>ABS(G87-G$3)</f>
        <v>0.14184105100000011</v>
      </c>
      <c r="J91" s="1">
        <v>0.18162607319999999</v>
      </c>
      <c r="K91" t="str">
        <f>IF(AND(K87&lt;=K3,K87&gt;=L3),"CASE 2",IF(AND(L87&lt;=K3,L87&gt;=L3),"CASE 1",IF(AND(K87&gt;=K3,L87&lt;=L3),"CASE 3",IF(AND(K87&lt;=K3,L87&gt;=L3),"CASE 4",FALSE()))))</f>
        <v>CASE 1</v>
      </c>
      <c r="L91">
        <f>ABS(J87-J$3)</f>
        <v>0.13766694099999999</v>
      </c>
      <c r="M91" s="1">
        <v>0.66157752739999998</v>
      </c>
      <c r="N91" t="b">
        <f>IF(AND(N87&lt;=N3,N87&gt;=O3),"CASE 2",IF(AND(O87&lt;=N3,O87&gt;=O3),"CASE 1",IF(AND(N87&gt;=N3,O87&lt;=O3),"CASE 3",IF(AND(N87&lt;=N3,O87&gt;=O3),"CASE 4",FALSE()))))</f>
        <v>0</v>
      </c>
      <c r="O91">
        <f>ABS(M87-M$3)</f>
        <v>1.3460788569999997</v>
      </c>
      <c r="P91" s="1">
        <v>0.1743064232</v>
      </c>
      <c r="Q91" t="b">
        <f>IF(AND(Q87&lt;=Q3,Q87&gt;=R3),"CASE 2",IF(AND(R87&lt;=Q3,R87&gt;=R3),"CASE 1",IF(AND(Q87&gt;=Q3,R87&lt;=R3),"CASE 3",IF(AND(Q87&lt;=Q3,R87&gt;=R3),"CASE 4",FALSE()))))</f>
        <v>0</v>
      </c>
      <c r="R91">
        <f>ABS(P87-P$3)</f>
        <v>0.39114355999999972</v>
      </c>
      <c r="S91" s="1">
        <v>0.1675689055</v>
      </c>
      <c r="T91" t="str">
        <f>IF(AND(T87&lt;=T3,T87&gt;=U3),"CASE 2",IF(AND(U87&lt;=T3,U87&gt;=U3),"CASE 1",IF(AND(T87&gt;=T3,U87&lt;=U3),"CASE 3",IF(AND(T87&lt;=T3,U87&gt;=U3),"CASE 4",FALSE()))))</f>
        <v>CASE 3</v>
      </c>
      <c r="U91">
        <f>ABS(S87-S$3)</f>
        <v>5.4201782000000254E-2</v>
      </c>
      <c r="V91" s="1">
        <v>0.33653521870000003</v>
      </c>
      <c r="W91" t="b">
        <f>IF(AND(W87&lt;=W3,W87&gt;=X3),"CASE 2",IF(AND(X87&lt;=W3,X87&gt;=X3),"CASE 1",IF(AND(W87&gt;=W3,X87&lt;=X3),"CASE 3",IF(AND(W87&lt;=W3,X87&gt;=X3),"CASE 4",FALSE()))))</f>
        <v>0</v>
      </c>
      <c r="X91">
        <f>ABS(V87-V$3)</f>
        <v>0.88623663800000019</v>
      </c>
      <c r="Y91" s="1">
        <v>0.68576341249999995</v>
      </c>
      <c r="Z91" t="str">
        <f>IF(AND(Z87&lt;=Z3,Z87&gt;=AA3),"CASE 2",IF(AND(AA87&lt;=Z3,AA87&gt;=AA3),"CASE 1",IF(AND(Z87&gt;=Z3,AA87&lt;=AA3),"CASE 3",IF(AND(Z87&lt;=Z3,AA87&gt;=AA3),"CASE 4",FALSE()))))</f>
        <v>CASE 1</v>
      </c>
      <c r="AA91">
        <f>ABS(Y87-Y$3)</f>
        <v>0.40034969199999981</v>
      </c>
      <c r="AB91" s="1">
        <v>0.50384977730000002</v>
      </c>
      <c r="AC91" t="b">
        <f>IF(AND(AC87&lt;=AC3,AC87&gt;=AD3),"CASE 2",IF(AND(AD87&lt;=AC3,AD87&gt;=AD3),"CASE 1",IF(AND(AC87&gt;=AC3,AD87&lt;=AD3),"CASE 3",IF(AND(AC87&lt;=AC3,AD87&gt;=AD3),"CASE 4",FALSE()))))</f>
        <v>0</v>
      </c>
      <c r="AD91">
        <f>ABS(AB87-AB$3)</f>
        <v>0.86200398200000006</v>
      </c>
      <c r="AE91"/>
    </row>
    <row r="92" spans="1:34" x14ac:dyDescent="0.35">
      <c r="A92" s="1">
        <v>0.10067125289999999</v>
      </c>
      <c r="B92" t="b">
        <f>IF(AND(B88&lt;=B4,B88&gt;=C4),"CASE 2",IF(AND(C88&lt;=B4,C88&gt;=C4),"CASE 1",IF(AND(B88&gt;=B4,C88&lt;=C4),"CASE 3",IF(AND(B88&lt;=B4,C88&gt;=C4),"CASE 4",FALSE()))))</f>
        <v>0</v>
      </c>
      <c r="C92">
        <f>ABS(A88-A$4)</f>
        <v>0.4067310540000002</v>
      </c>
      <c r="D92" s="1">
        <v>0.46863136989999998</v>
      </c>
      <c r="E92" t="str">
        <f>IF(AND(E88&lt;=E4,E88&gt;=F4),"CASE 2",IF(AND(F88&lt;=E4,F88&gt;=F4),"CASE 1",IF(AND(E88&gt;=E4,F88&lt;=F4),"CASE 3",IF(AND(E88&lt;=E4,F88&gt;=F4),"CASE 4",FALSE()))))</f>
        <v>CASE 2</v>
      </c>
      <c r="F92">
        <f>ABS(D88-D$4)</f>
        <v>0.34455626100000014</v>
      </c>
      <c r="G92" s="1">
        <v>6.7870261010000002E-2</v>
      </c>
      <c r="H92" t="str">
        <f>IF(AND(H88&lt;=H4,H88&gt;=I4),"CASE 2",IF(AND(I88&lt;=H4,I88&gt;=I4),"CASE 1",IF(AND(H88&gt;=H4,I88&lt;=I4),"CASE 3",IF(AND(H88&lt;=H4,I88&gt;=I4),"CASE 4",FALSE()))))</f>
        <v>CASE 1</v>
      </c>
      <c r="I92">
        <f>ABS(G88-G$4)</f>
        <v>5.4588128000000014E-2</v>
      </c>
      <c r="J92" s="1">
        <v>0.1829290925</v>
      </c>
      <c r="K92" t="str">
        <f>IF(AND(K88&lt;=K4,K88&gt;=L4),"CASE 2",IF(AND(L88&lt;=K4,L88&gt;=L4),"CASE 1",IF(AND(K88&gt;=K4,L88&lt;=L4),"CASE 3",IF(AND(K88&lt;=K4,L88&gt;=L4),"CASE 4",FALSE()))))</f>
        <v>CASE 1</v>
      </c>
      <c r="L92">
        <f>ABS(J88-J$4)</f>
        <v>0.28926567599999986</v>
      </c>
      <c r="M92" s="1">
        <v>0.91209590640000004</v>
      </c>
      <c r="N92" t="str">
        <f>IF(AND(N88&lt;=N4,N88&gt;=O4),"CASE 2",IF(AND(O88&lt;=N4,O88&gt;=O4),"CASE 1",IF(AND(N88&gt;=N4,O88&lt;=O4),"CASE 3",IF(AND(N88&lt;=N4,O88&gt;=O4),"CASE 4",FALSE()))))</f>
        <v>CASE 1</v>
      </c>
      <c r="O92">
        <f>ABS(M88-M$4)</f>
        <v>1.2634589930000002</v>
      </c>
      <c r="P92" s="1">
        <v>0.226465796</v>
      </c>
      <c r="Q92" t="b">
        <f>IF(AND(Q88&lt;=Q4,Q88&gt;=R4),"CASE 2",IF(AND(R88&lt;=Q4,R88&gt;=R4),"CASE 1",IF(AND(Q88&gt;=Q4,R88&lt;=R4),"CASE 3",IF(AND(Q88&lt;=Q4,R88&gt;=R4),"CASE 4",FALSE()))))</f>
        <v>0</v>
      </c>
      <c r="R92">
        <f>ABS(P88-P$4)</f>
        <v>0.49139333099999982</v>
      </c>
      <c r="S92" s="1">
        <v>0.10153951210000001</v>
      </c>
      <c r="T92" t="str">
        <f>IF(AND(T88&lt;=T4,T88&gt;=U4),"CASE 2",IF(AND(U88&lt;=T4,U88&gt;=U4),"CASE 1",IF(AND(T88&gt;=T4,U88&lt;=U4),"CASE 3",IF(AND(T88&lt;=T4,U88&gt;=U4),"CASE 4",FALSE()))))</f>
        <v>CASE 2</v>
      </c>
      <c r="U92">
        <f>ABS(S88-S$4)</f>
        <v>0.1370166359999998</v>
      </c>
      <c r="V92" s="1">
        <v>0.4354323772</v>
      </c>
      <c r="W92" t="b">
        <f>IF(AND(W88&lt;=W4,W88&gt;=X4),"CASE 2",IF(AND(X88&lt;=W4,X88&gt;=X4),"CASE 1",IF(AND(W88&gt;=W4,X88&lt;=X4),"CASE 3",IF(AND(W88&lt;=W4,X88&gt;=X4),"CASE 4",FALSE()))))</f>
        <v>0</v>
      </c>
      <c r="X92">
        <f>ABS(V88-V$4)</f>
        <v>1.1340226459999998</v>
      </c>
      <c r="Y92" s="1">
        <v>0.32878315009999998</v>
      </c>
      <c r="Z92" t="str">
        <f>IF(AND(Z88&lt;=Z4,Z88&gt;=AA4),"CASE 2",IF(AND(AA88&lt;=Z4,AA88&gt;=AA4),"CASE 1",IF(AND(Z88&gt;=Z4,AA88&lt;=AA4),"CASE 3",IF(AND(Z88&lt;=Z4,AA88&gt;=AA4),"CASE 4",FALSE()))))</f>
        <v>CASE 3</v>
      </c>
      <c r="AA92">
        <f>ABS(Y88-Y$4)</f>
        <v>3.1561260000001479E-3</v>
      </c>
      <c r="AB92" s="1">
        <v>0.79859399819999999</v>
      </c>
      <c r="AC92" t="str">
        <f>IF(AND(AC88&lt;=AC4,AC88&gt;=AD4),"CASE 2",IF(AND(AD88&lt;=AC4,AD88&gt;=AD4),"CASE 1",IF(AND(AC88&gt;=AC4,AD88&lt;=AD4),"CASE 3",IF(AND(AC88&lt;=AC4,AD88&gt;=AD4),"CASE 4",FALSE()))))</f>
        <v>CASE 3</v>
      </c>
      <c r="AD92">
        <f>ABS(AB88-AB$4)</f>
        <v>3.465231099999988E-2</v>
      </c>
      <c r="AE92"/>
    </row>
    <row r="93" spans="1:34" x14ac:dyDescent="0.35">
      <c r="A93" s="1">
        <v>6.8760663829999999E-2</v>
      </c>
      <c r="B93" t="str">
        <f>IF(AND(B89&lt;=B5,B89&gt;=C5),"CASE 2",IF(AND(C89&lt;=B5,C89&gt;=C5),"CASE 1",IF(AND(B89&gt;=B5,C89&lt;=C5),"CASE 3",IF(AND(B89&lt;=B5,C89&gt;=C5),"CASE 4",FALSE()))))</f>
        <v>CASE 1</v>
      </c>
      <c r="C93">
        <f>ABS(A89-A$5)</f>
        <v>4.905986799999984E-2</v>
      </c>
      <c r="D93" s="1">
        <v>0.1523892808</v>
      </c>
      <c r="E93" t="str">
        <f>IF(AND(E89&lt;=E5,E89&gt;=F5),"CASE 2",IF(AND(F89&lt;=E5,F89&gt;=F5),"CASE 1",IF(AND(E89&gt;=E5,F89&lt;=F5),"CASE 3",IF(AND(E89&lt;=E5,F89&gt;=F5),"CASE 4",FALSE()))))</f>
        <v>CASE 3</v>
      </c>
      <c r="F93">
        <f>ABS(D89-D$5)</f>
        <v>3.9419411999999987E-2</v>
      </c>
      <c r="G93" s="1">
        <v>0.14402553570000001</v>
      </c>
      <c r="H93" t="str">
        <f>IF(AND(H89&lt;=H5,H89&gt;=I5),"CASE 2",IF(AND(I89&lt;=H5,I89&gt;=I5),"CASE 1",IF(AND(H89&gt;=H5,I89&lt;=I5),"CASE 3",IF(AND(H89&lt;=H5,I89&gt;=I5),"CASE 4",FALSE()))))</f>
        <v>CASE 3</v>
      </c>
      <c r="I93">
        <f>ABS(G89-G$5)</f>
        <v>8.3502529999999187E-3</v>
      </c>
      <c r="J93" s="1">
        <v>7.7879649029999998E-2</v>
      </c>
      <c r="K93" t="str">
        <f>IF(AND(K89&lt;=K5,K89&gt;=L5),"CASE 2",IF(AND(L89&lt;=K5,L89&gt;=L5),"CASE 1",IF(AND(K89&gt;=K5,L89&lt;=L5),"CASE 3",IF(AND(K89&lt;=K5,L89&gt;=L5),"CASE 4",FALSE()))))</f>
        <v>CASE 3</v>
      </c>
      <c r="L93">
        <f>ABS(J89-J$5)</f>
        <v>3.1923050000000064E-3</v>
      </c>
      <c r="M93" s="1">
        <v>0.2566766962</v>
      </c>
      <c r="N93" t="str">
        <f>IF(AND(N89&lt;=N5,N89&gt;=O5),"CASE 2",IF(AND(O89&lt;=N5,O89&gt;=O5),"CASE 1",IF(AND(N89&gt;=N5,O89&lt;=O5),"CASE 3",IF(AND(N89&lt;=N5,O89&gt;=O5),"CASE 4",FALSE()))))</f>
        <v>CASE 1</v>
      </c>
      <c r="O93">
        <f>ABS(M89-M$5)</f>
        <v>0.28944349299999983</v>
      </c>
      <c r="P93" s="1">
        <v>8.8817355010000001E-2</v>
      </c>
      <c r="Q93" t="str">
        <f>IF(AND(Q89&lt;=Q5,Q89&gt;=R5),"CASE 2",IF(AND(R89&lt;=Q5,R89&gt;=R5),"CASE 1",IF(AND(Q89&gt;=Q5,R89&lt;=R5),"CASE 3",IF(AND(Q89&lt;=Q5,R89&gt;=R5),"CASE 4",FALSE()))))</f>
        <v>CASE 3</v>
      </c>
      <c r="R93">
        <f>ABS(P89-P$5)</f>
        <v>8.4944970000000453E-3</v>
      </c>
      <c r="S93" s="1">
        <v>7.9104884779999995E-2</v>
      </c>
      <c r="T93" t="str">
        <f>IF(AND(T89&lt;=T5,T89&gt;=U5),"CASE 2",IF(AND(U89&lt;=T5,U89&gt;=U5),"CASE 1",IF(AND(T89&gt;=T5,U89&lt;=U5),"CASE 3",IF(AND(T89&lt;=T5,U89&gt;=U5),"CASE 4",FALSE()))))</f>
        <v>CASE 3</v>
      </c>
      <c r="U93">
        <f>ABS(S89-S$5)</f>
        <v>7.9345699999988639E-4</v>
      </c>
      <c r="V93" s="1">
        <v>0.18104486519999999</v>
      </c>
      <c r="W93" t="str">
        <f>IF(AND(W89&lt;=W5,W89&gt;=X5),"CASE 2",IF(AND(X89&lt;=W5,X89&gt;=X5),"CASE 1",IF(AND(W89&gt;=W5,X89&lt;=X5),"CASE 3",IF(AND(W89&lt;=W5,X89&gt;=X5),"CASE 4",FALSE()))))</f>
        <v>CASE 2</v>
      </c>
      <c r="X93">
        <f>ABS(V89-V$5)</f>
        <v>4.2944431999999866E-2</v>
      </c>
      <c r="Y93" s="1">
        <v>0.24021490949999999</v>
      </c>
      <c r="Z93" t="str">
        <f>IF(AND(Z89&lt;=Z5,Z89&gt;=AA5),"CASE 2",IF(AND(AA89&lt;=Z5,AA89&gt;=AA5),"CASE 1",IF(AND(Z89&gt;=Z5,AA89&lt;=AA5),"CASE 3",IF(AND(Z89&lt;=Z5,AA89&gt;=AA5),"CASE 4",FALSE()))))</f>
        <v>CASE 1</v>
      </c>
      <c r="AA93">
        <f>ABS(Y89-Y$5)</f>
        <v>0.1655755940000001</v>
      </c>
      <c r="AB93" s="1">
        <v>0.26388307360000002</v>
      </c>
      <c r="AC93" t="str">
        <f>IF(AND(AC89&lt;=AC5,AC89&gt;=AD5),"CASE 2",IF(AND(AD89&lt;=AC5,AD89&gt;=AD5),"CASE 1",IF(AND(AC89&gt;=AC5,AD89&lt;=AD5),"CASE 3",IF(AND(AC89&lt;=AC5,AD89&gt;=AD5),"CASE 4",FALSE()))))</f>
        <v>CASE 3</v>
      </c>
      <c r="AD93">
        <f>ABS(AB89-AB$5)</f>
        <v>4.1902670000000253E-3</v>
      </c>
      <c r="AE93"/>
      <c r="AH93" t="s">
        <v>17</v>
      </c>
    </row>
    <row r="94" spans="1:34" x14ac:dyDescent="0.35">
      <c r="B94" t="s">
        <v>16</v>
      </c>
      <c r="C94">
        <f>SUM(C90:C93)</f>
        <v>1.0343038290000017</v>
      </c>
      <c r="E94" t="s">
        <v>16</v>
      </c>
      <c r="F94">
        <f>SUM(F90:F93)</f>
        <v>0.71431754900000088</v>
      </c>
      <c r="H94" t="s">
        <v>16</v>
      </c>
      <c r="I94">
        <f>SUM(I90:I93)</f>
        <v>0.21116976200000037</v>
      </c>
      <c r="K94" t="s">
        <v>16</v>
      </c>
      <c r="L94">
        <f>SUM(L90:L93)</f>
        <v>0.50768839199999927</v>
      </c>
      <c r="N94" t="s">
        <v>16</v>
      </c>
      <c r="O94">
        <f>SUM(O90:O93)</f>
        <v>3.1666458929999988</v>
      </c>
      <c r="Q94" t="s">
        <v>16</v>
      </c>
      <c r="R94">
        <f>SUM(R90:R93)</f>
        <v>1.0466876979999991</v>
      </c>
      <c r="T94" t="s">
        <v>16</v>
      </c>
      <c r="U94">
        <f>SUM(U90:U93)</f>
        <v>0.22314874500000093</v>
      </c>
      <c r="W94" t="s">
        <v>16</v>
      </c>
      <c r="X94">
        <f>SUM(X90:X93)</f>
        <v>2.2294501259999988</v>
      </c>
      <c r="Z94" t="s">
        <v>16</v>
      </c>
      <c r="AA94">
        <f>SUM(AA90:AA93)</f>
        <v>0.60818945200000041</v>
      </c>
      <c r="AC94" t="s">
        <v>16</v>
      </c>
      <c r="AD94">
        <f>SUM(AD90:AD93)</f>
        <v>0.95915242000000078</v>
      </c>
      <c r="AH94">
        <f>SUM(F90:F93,C90:C93,I90:I93,L90:L93,O90:O93,R90:R93,U90:U93,X90:X93,AA90:AA93,AD90:AD93)</f>
        <v>10.700753866000007</v>
      </c>
    </row>
  </sheetData>
  <conditionalFormatting sqref="A1:XFD18 A19:AG19 AI19:XFD19 A20:XFD28 A29:AG29 AI29:XFD29 A30:XFD37 A38:AG39 AI38:XFD39 AH39 A40:XFD47 A48:AG49 AI48:XFD49 AH49 A50:XFD57 A58:AG60 AI58:XFD60 AH59:AH60 A61:XFD64 AG65:XFD67 A65:AF68 AG68 AI68:XFD74 A75:XFD79 AG80:XFD82 A80:AF83 AG83 AI83:XFD84 A84:AH84 A85:XFD89 AG90:XFD92 AF90:AF94 A90:AE1048576 AG93 AI93:XFD94 AG94:AH94 AF95:XFD1048576 A69:AH74">
    <cfRule type="containsText" dxfId="5" priority="1" operator="containsText" text="CASE">
      <formula>NOT(ISERROR(SEARCH("CASE",A1)))</formula>
    </cfRule>
    <cfRule type="containsText" dxfId="4" priority="2" operator="containsText" text="FALSE">
      <formula>NOT(ISERROR(SEARCH("FALSE",A1)))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5E16-2C38-4276-A225-797A741465A2}">
  <sheetPr>
    <tabColor rgb="FF00B050"/>
  </sheetPr>
  <dimension ref="A1:AH74"/>
  <sheetViews>
    <sheetView zoomScale="99" zoomScaleNormal="99" workbookViewId="0">
      <pane ySplit="1" topLeftCell="A2" activePane="bottomLeft" state="frozen"/>
      <selection pane="bottomLeft" activeCell="E37" sqref="E37"/>
    </sheetView>
  </sheetViews>
  <sheetFormatPr defaultRowHeight="14.5" x14ac:dyDescent="0.35"/>
  <cols>
    <col min="1" max="1" width="8.7265625" style="1"/>
    <col min="4" max="4" width="8.7265625" style="1"/>
    <col min="7" max="7" width="8.7265625" style="1"/>
    <col min="10" max="10" width="8.7265625" style="1"/>
    <col min="13" max="13" width="8.54296875" style="1" customWidth="1"/>
    <col min="16" max="16" width="8.7265625" style="1"/>
    <col min="19" max="19" width="8.7265625" style="1"/>
    <col min="22" max="22" width="8.7265625" style="1"/>
    <col min="25" max="25" width="8.7265625" style="1"/>
    <col min="28" max="28" width="8.7265625" style="1"/>
    <col min="31" max="31" width="8.7265625" style="1"/>
  </cols>
  <sheetData>
    <row r="1" spans="1:33" x14ac:dyDescent="0.35">
      <c r="A1" s="1" t="s">
        <v>0</v>
      </c>
      <c r="D1" s="1" t="s">
        <v>6</v>
      </c>
      <c r="G1" s="1" t="s">
        <v>7</v>
      </c>
      <c r="J1" s="1" t="s">
        <v>8</v>
      </c>
      <c r="M1" s="1" t="s">
        <v>9</v>
      </c>
      <c r="P1" s="1" t="s">
        <v>10</v>
      </c>
      <c r="S1" s="1" t="s">
        <v>11</v>
      </c>
      <c r="V1" s="1" t="s">
        <v>12</v>
      </c>
      <c r="Y1" s="1" t="s">
        <v>13</v>
      </c>
      <c r="AB1" s="1" t="s">
        <v>14</v>
      </c>
      <c r="AE1" s="1" t="s">
        <v>15</v>
      </c>
    </row>
    <row r="2" spans="1:33" x14ac:dyDescent="0.35">
      <c r="A2" s="1">
        <v>16.41791439</v>
      </c>
      <c r="B2">
        <f>A2+A6</f>
        <v>16.42916860139</v>
      </c>
      <c r="C2">
        <f>A2-A6</f>
        <v>16.40666017861</v>
      </c>
      <c r="D2" s="1">
        <v>15.598167180000001</v>
      </c>
      <c r="E2">
        <f>D2+D6</f>
        <v>15.736012579300001</v>
      </c>
      <c r="F2">
        <f>D2-D6</f>
        <v>15.460321780700001</v>
      </c>
      <c r="G2" s="1">
        <v>15.89967656</v>
      </c>
      <c r="H2">
        <f>G2+G6</f>
        <v>15.9202076525</v>
      </c>
      <c r="I2">
        <f>G2-G6</f>
        <v>15.879145467499999</v>
      </c>
      <c r="J2" s="1">
        <v>15.87040406</v>
      </c>
      <c r="K2">
        <f>J2+J6</f>
        <v>15.90421000021</v>
      </c>
      <c r="L2">
        <f>J2-J6</f>
        <v>15.836598119790001</v>
      </c>
      <c r="M2" s="1">
        <v>15.55237329</v>
      </c>
      <c r="N2">
        <f>M2+M6</f>
        <v>15.61810586132</v>
      </c>
      <c r="O2">
        <f>M2-M6</f>
        <v>15.48664071868</v>
      </c>
      <c r="P2" s="1">
        <v>15.59310773</v>
      </c>
      <c r="Q2">
        <f>P2+P6</f>
        <v>15.63006865336</v>
      </c>
      <c r="R2">
        <f>P2-P6</f>
        <v>15.556146806639999</v>
      </c>
      <c r="S2" s="1">
        <v>16.109231350000002</v>
      </c>
      <c r="T2">
        <f>S2+S6</f>
        <v>16.13097576166</v>
      </c>
      <c r="U2">
        <f>S2-S6</f>
        <v>16.087486938340003</v>
      </c>
      <c r="V2" s="1">
        <v>15.423292160000001</v>
      </c>
      <c r="W2">
        <f>V2+V6</f>
        <v>15.47905865587</v>
      </c>
      <c r="X2">
        <f>V2-V6</f>
        <v>15.367525664130001</v>
      </c>
      <c r="Y2" s="1">
        <v>14.78910851</v>
      </c>
      <c r="Z2">
        <f>Y2+Y6</f>
        <v>14.847191329679999</v>
      </c>
      <c r="AA2">
        <f>Y2-Y6</f>
        <v>14.731025690320001</v>
      </c>
      <c r="AB2" s="1">
        <v>14.955488089999999</v>
      </c>
      <c r="AC2">
        <f>AB2+AB6</f>
        <v>15.055767727799999</v>
      </c>
      <c r="AD2">
        <f>AB2-AB6</f>
        <v>14.855208452199999</v>
      </c>
      <c r="AE2" s="1">
        <v>15.153644440000001</v>
      </c>
      <c r="AF2">
        <f>AE2+AE6</f>
        <v>15.4204244463</v>
      </c>
      <c r="AG2">
        <f>AE2-AE6</f>
        <v>14.886864433700001</v>
      </c>
    </row>
    <row r="3" spans="1:33" x14ac:dyDescent="0.35">
      <c r="A3" s="1">
        <v>3.9399569030000001</v>
      </c>
      <c r="B3">
        <f>A3+A7</f>
        <v>4.02325339164</v>
      </c>
      <c r="C3">
        <f>A3-A7</f>
        <v>3.8566604143600003</v>
      </c>
      <c r="D3" s="1">
        <v>3.4592315550000001</v>
      </c>
      <c r="E3">
        <f>D3+D7</f>
        <v>3.6851875692</v>
      </c>
      <c r="F3">
        <f>D3-D7</f>
        <v>3.2332755408000002</v>
      </c>
      <c r="G3" s="1">
        <v>4.1967743659999996</v>
      </c>
      <c r="H3">
        <f>G3+G7</f>
        <v>4.3515279529999997</v>
      </c>
      <c r="I3">
        <f>G3-G7</f>
        <v>4.0420207789999996</v>
      </c>
      <c r="J3" s="1">
        <v>4.219640493</v>
      </c>
      <c r="K3">
        <f>J3+J7</f>
        <v>4.3479515414999996</v>
      </c>
      <c r="L3">
        <f>J3-J7</f>
        <v>4.0913294445000004</v>
      </c>
      <c r="M3" s="1">
        <v>3.0232448729999999</v>
      </c>
      <c r="N3">
        <f>M3+M7</f>
        <v>3.3517023851999999</v>
      </c>
      <c r="O3">
        <f>M3-M7</f>
        <v>2.6947873607999999</v>
      </c>
      <c r="P3" s="1">
        <v>4.3702547550000004</v>
      </c>
      <c r="Q3">
        <f>P3+P7</f>
        <v>4.5014913048</v>
      </c>
      <c r="R3">
        <f>P3-P7</f>
        <v>4.2390182052000007</v>
      </c>
      <c r="S3" s="1">
        <v>3.9252751469999998</v>
      </c>
      <c r="T3">
        <f>S3+S7</f>
        <v>4.0371225391999994</v>
      </c>
      <c r="U3">
        <f>S3-S7</f>
        <v>3.8134277547999997</v>
      </c>
      <c r="V3" s="1">
        <v>4.3779205980000002</v>
      </c>
      <c r="W3">
        <f>V3+V7</f>
        <v>4.7868667145000003</v>
      </c>
      <c r="X3">
        <f>V3-V7</f>
        <v>3.9689744815000001</v>
      </c>
      <c r="Y3" s="1">
        <v>4.0415143220000003</v>
      </c>
      <c r="Z3">
        <f>Y3+Y7</f>
        <v>4.4185737466999999</v>
      </c>
      <c r="AA3">
        <f>Y3-Y7</f>
        <v>3.6644548973000002</v>
      </c>
      <c r="AB3" s="1">
        <v>4.4582474830000001</v>
      </c>
      <c r="AC3">
        <f>AB3+AB7</f>
        <v>4.7759608674000003</v>
      </c>
      <c r="AD3">
        <f>AB3-AB7</f>
        <v>4.1405340985999999</v>
      </c>
      <c r="AE3" s="1">
        <v>5.2575609679999999</v>
      </c>
      <c r="AF3">
        <f>AE3+AE7</f>
        <v>6.0578615757999996</v>
      </c>
      <c r="AG3">
        <f>AE3-AE7</f>
        <v>4.4572603602000003</v>
      </c>
    </row>
    <row r="4" spans="1:33" x14ac:dyDescent="0.35">
      <c r="A4" s="1">
        <v>2.6820483949999998</v>
      </c>
      <c r="B4">
        <f>A4+A8</f>
        <v>2.7296692026299998</v>
      </c>
      <c r="C4">
        <f>A4-A8</f>
        <v>2.6344275873699998</v>
      </c>
      <c r="D4" s="1">
        <v>2.572819162</v>
      </c>
      <c r="E4">
        <f>D4+D8</f>
        <v>3.0222699370999999</v>
      </c>
      <c r="F4">
        <f>D4-D8</f>
        <v>2.1233683869000002</v>
      </c>
      <c r="G4" s="1">
        <v>1.111216735</v>
      </c>
      <c r="H4">
        <f>G4+G8</f>
        <v>1.1538638080899999</v>
      </c>
      <c r="I4">
        <f>G4-G8</f>
        <v>1.06856966191</v>
      </c>
      <c r="J4" s="1">
        <v>2.0822677180000002</v>
      </c>
      <c r="K4">
        <f>J4+J8</f>
        <v>2.1998145574000003</v>
      </c>
      <c r="L4">
        <f>J4-J8</f>
        <v>1.9647208786000001</v>
      </c>
      <c r="M4" s="1">
        <v>1.9868385529999999</v>
      </c>
      <c r="N4">
        <f>M4+M8</f>
        <v>2.4175550045</v>
      </c>
      <c r="O4">
        <f>M4-M8</f>
        <v>1.5561221015</v>
      </c>
      <c r="P4" s="1">
        <v>2.4855525460000001</v>
      </c>
      <c r="Q4">
        <f>P4+P8</f>
        <v>2.6153167020999999</v>
      </c>
      <c r="R4">
        <f>P4-P8</f>
        <v>2.3557883899000003</v>
      </c>
      <c r="S4" s="1">
        <v>2.0079921299999999</v>
      </c>
      <c r="T4">
        <f>S4+S8</f>
        <v>2.0873646701699999</v>
      </c>
      <c r="U4">
        <f>S4-S8</f>
        <v>1.9286195898299998</v>
      </c>
      <c r="V4" s="1">
        <v>1.436453886</v>
      </c>
      <c r="W4">
        <f>V4+V8</f>
        <v>1.5737385615999999</v>
      </c>
      <c r="X4">
        <f>V4-V8</f>
        <v>1.2991692104000001</v>
      </c>
      <c r="Y4" s="1">
        <v>1.9309239979999999</v>
      </c>
      <c r="Z4">
        <f>Y4+Y8</f>
        <v>2.1787381023000001</v>
      </c>
      <c r="AA4">
        <f>Y4-Y8</f>
        <v>1.6831098937</v>
      </c>
      <c r="AB4" s="1">
        <v>3.2146858389999999</v>
      </c>
      <c r="AC4">
        <f>AB4+AB8</f>
        <v>3.8462807923</v>
      </c>
      <c r="AD4">
        <f>AB4-AB8</f>
        <v>2.5830908856999999</v>
      </c>
      <c r="AE4" s="1">
        <v>1.7612895150000001</v>
      </c>
      <c r="AF4">
        <f>AE4+AE8</f>
        <v>2.0867092578999999</v>
      </c>
      <c r="AG4">
        <f>AE4-AE8</f>
        <v>1.4358697721000002</v>
      </c>
    </row>
    <row r="5" spans="1:33" x14ac:dyDescent="0.35">
      <c r="A5" s="1">
        <v>1.9297304150000001</v>
      </c>
      <c r="B5">
        <f>A5+A9</f>
        <v>1.9628111908200001</v>
      </c>
      <c r="C5">
        <f>A5-A9</f>
        <v>1.8966496391800001</v>
      </c>
      <c r="D5" s="1">
        <v>1.856207132</v>
      </c>
      <c r="E5">
        <f>D5+D9</f>
        <v>1.9516958639099999</v>
      </c>
      <c r="F5">
        <f>D5-D9</f>
        <v>1.76071840009</v>
      </c>
      <c r="G5" s="1">
        <v>1.9532965419999999</v>
      </c>
      <c r="H5">
        <f>G5+G9</f>
        <v>2.04315591151</v>
      </c>
      <c r="I5">
        <f>G5-G9</f>
        <v>1.8634371724899998</v>
      </c>
      <c r="J5" s="1">
        <v>1.913577437</v>
      </c>
      <c r="K5">
        <f>J5+J9</f>
        <v>1.96351682874</v>
      </c>
      <c r="L5">
        <f>J5-J9</f>
        <v>1.8636380452600001</v>
      </c>
      <c r="M5" s="1">
        <v>2.0015873910000002</v>
      </c>
      <c r="N5">
        <f>M5+M9</f>
        <v>2.1150274829</v>
      </c>
      <c r="O5">
        <f>M5-M9</f>
        <v>1.8881472991000001</v>
      </c>
      <c r="P5" s="1">
        <v>2.0603438619999999</v>
      </c>
      <c r="Q5">
        <f>P5+P9</f>
        <v>2.1177729490899999</v>
      </c>
      <c r="R5">
        <f>P5-P9</f>
        <v>2.0029147749099998</v>
      </c>
      <c r="S5" s="1">
        <v>1.649139404</v>
      </c>
      <c r="T5">
        <f>S5+S9</f>
        <v>1.7005618304700001</v>
      </c>
      <c r="U5">
        <f>S5-S9</f>
        <v>1.59771697753</v>
      </c>
      <c r="V5" s="1">
        <v>1.978537083</v>
      </c>
      <c r="W5">
        <f>V5+V9</f>
        <v>2.1483177804999998</v>
      </c>
      <c r="X5">
        <f>V5-V9</f>
        <v>1.8087563855</v>
      </c>
      <c r="Y5" s="1">
        <v>1.764554411</v>
      </c>
      <c r="Z5">
        <f>Y5+Y9</f>
        <v>1.9216109537999999</v>
      </c>
      <c r="AA5">
        <f>Y5-Y9</f>
        <v>1.6074978682000001</v>
      </c>
      <c r="AB5" s="1">
        <v>1.7165468340000001</v>
      </c>
      <c r="AC5">
        <f>AB5+AB9</f>
        <v>1.8876331972</v>
      </c>
      <c r="AD5">
        <f>AB5-AB9</f>
        <v>1.5454604708000002</v>
      </c>
      <c r="AE5" s="1">
        <v>1.517354965</v>
      </c>
      <c r="AF5">
        <f>AE5+AE9</f>
        <v>1.9200063498</v>
      </c>
      <c r="AG5">
        <f>AE5-AE9</f>
        <v>1.1147035802</v>
      </c>
    </row>
    <row r="6" spans="1:33" x14ac:dyDescent="0.35">
      <c r="A6" s="1">
        <v>1.1254211389999999E-2</v>
      </c>
      <c r="D6" s="1">
        <v>0.1378453993</v>
      </c>
      <c r="G6" s="1">
        <v>2.0531092500000001E-2</v>
      </c>
      <c r="J6" s="1">
        <v>3.3805940210000003E-2</v>
      </c>
      <c r="M6" s="1">
        <v>6.5732571320000002E-2</v>
      </c>
      <c r="P6" s="1">
        <v>3.6960923360000002E-2</v>
      </c>
      <c r="S6" s="1">
        <v>2.1744411660000001E-2</v>
      </c>
      <c r="V6" s="1">
        <v>5.5766495870000002E-2</v>
      </c>
      <c r="Y6" s="1">
        <v>5.8082819680000002E-2</v>
      </c>
      <c r="AB6" s="1">
        <v>0.1002796378</v>
      </c>
      <c r="AE6" s="1">
        <v>0.26678000629999998</v>
      </c>
    </row>
    <row r="7" spans="1:33" x14ac:dyDescent="0.35">
      <c r="A7" s="1">
        <v>8.3296488639999999E-2</v>
      </c>
      <c r="D7" s="1">
        <v>0.2259560142</v>
      </c>
      <c r="G7" s="1">
        <v>0.154753587</v>
      </c>
      <c r="J7" s="1">
        <v>0.1283110485</v>
      </c>
      <c r="M7" s="1">
        <v>0.32845751220000002</v>
      </c>
      <c r="P7" s="1">
        <v>0.13123654979999999</v>
      </c>
      <c r="S7" s="1">
        <v>0.11184739220000001</v>
      </c>
      <c r="V7" s="1">
        <v>0.40894611650000001</v>
      </c>
      <c r="Y7" s="1">
        <v>0.37705942469999998</v>
      </c>
      <c r="AB7" s="1">
        <v>0.31771338440000002</v>
      </c>
      <c r="AE7" s="1">
        <v>0.80030060780000001</v>
      </c>
    </row>
    <row r="8" spans="1:33" x14ac:dyDescent="0.35">
      <c r="A8" s="1">
        <v>4.7620807629999998E-2</v>
      </c>
      <c r="D8" s="1">
        <v>0.44945077509999998</v>
      </c>
      <c r="G8" s="1">
        <v>4.2647073090000001E-2</v>
      </c>
      <c r="J8" s="1">
        <v>0.11754683940000001</v>
      </c>
      <c r="M8" s="1">
        <v>0.43071645149999999</v>
      </c>
      <c r="P8" s="1">
        <v>0.1297641561</v>
      </c>
      <c r="S8" s="1">
        <v>7.9372540170000005E-2</v>
      </c>
      <c r="V8" s="1">
        <v>0.13728467559999999</v>
      </c>
      <c r="Y8" s="1">
        <v>0.2478141043</v>
      </c>
      <c r="AB8" s="1">
        <v>0.63159495330000004</v>
      </c>
      <c r="AE8" s="1">
        <v>0.32541974289999998</v>
      </c>
    </row>
    <row r="9" spans="1:33" x14ac:dyDescent="0.35">
      <c r="A9" s="1">
        <v>3.3080775819999998E-2</v>
      </c>
      <c r="D9" s="1">
        <v>9.5488731909999999E-2</v>
      </c>
      <c r="G9" s="1">
        <v>8.9859369509999995E-2</v>
      </c>
      <c r="J9" s="1">
        <v>4.9939391739999998E-2</v>
      </c>
      <c r="M9" s="1">
        <v>0.1134400919</v>
      </c>
      <c r="P9" s="1">
        <v>5.7429087089999997E-2</v>
      </c>
      <c r="S9" s="1">
        <v>5.1422426469999998E-2</v>
      </c>
      <c r="V9" s="1">
        <v>0.16978069749999999</v>
      </c>
      <c r="Y9" s="1">
        <v>0.1570565428</v>
      </c>
      <c r="AB9" s="1">
        <v>0.17108636320000001</v>
      </c>
      <c r="AE9" s="1">
        <v>0.40265138480000001</v>
      </c>
    </row>
    <row r="11" spans="1:33" x14ac:dyDescent="0.35">
      <c r="A11" s="1" t="s">
        <v>1</v>
      </c>
    </row>
    <row r="12" spans="1:33" x14ac:dyDescent="0.35">
      <c r="A12" s="1">
        <v>16.424389600000001</v>
      </c>
      <c r="B12">
        <f>A12+A16</f>
        <v>16.440095063000001</v>
      </c>
      <c r="C12">
        <f>A12-A16</f>
        <v>16.408684137000002</v>
      </c>
      <c r="D12" s="1">
        <v>15.63007855</v>
      </c>
      <c r="E12">
        <f>D12+D16</f>
        <v>15.807657791</v>
      </c>
      <c r="F12">
        <f>D12-D16</f>
        <v>15.452499309</v>
      </c>
      <c r="G12" s="1">
        <v>15.905393180000001</v>
      </c>
      <c r="H12">
        <f>G12+G16</f>
        <v>15.933956964</v>
      </c>
      <c r="I12">
        <f>G12-G16</f>
        <v>15.876829396000002</v>
      </c>
      <c r="J12" s="1">
        <v>15.966458080000001</v>
      </c>
      <c r="K12">
        <f>J12+J16</f>
        <v>16.010720951</v>
      </c>
      <c r="L12">
        <f>J12-J16</f>
        <v>15.922195209</v>
      </c>
      <c r="M12" s="1">
        <v>15.806308509999999</v>
      </c>
      <c r="N12">
        <f>M12+M16</f>
        <v>15.972601249999999</v>
      </c>
      <c r="O12">
        <f>M12-M16</f>
        <v>15.64001577</v>
      </c>
      <c r="P12" s="1">
        <v>15.647233010000001</v>
      </c>
      <c r="Q12">
        <f>P12+P16</f>
        <v>15.697306326000001</v>
      </c>
      <c r="R12">
        <f>P12-P16</f>
        <v>15.597159694</v>
      </c>
      <c r="S12" s="1">
        <v>16.119581700000001</v>
      </c>
      <c r="T12">
        <f>S12+S16</f>
        <v>16.149647074000001</v>
      </c>
      <c r="U12">
        <f>S12-S16</f>
        <v>16.089516326000002</v>
      </c>
      <c r="V12" s="1">
        <v>15.49309015</v>
      </c>
      <c r="W12">
        <f>V12+V16</f>
        <v>15.562314491</v>
      </c>
      <c r="X12">
        <f>V12-V16</f>
        <v>15.423865809</v>
      </c>
      <c r="Y12" s="1">
        <v>14.83816195</v>
      </c>
      <c r="Z12">
        <f>Y12+Y16</f>
        <v>14.913969627</v>
      </c>
      <c r="AA12">
        <f>Y12-Y16</f>
        <v>14.762354273</v>
      </c>
      <c r="AB12" s="1">
        <v>14.963228579999999</v>
      </c>
      <c r="AC12">
        <f>AB12+AB16</f>
        <v>15.083314713999998</v>
      </c>
      <c r="AD12">
        <f>AB12-AB16</f>
        <v>14.843142446</v>
      </c>
      <c r="AE12" s="1">
        <v>15.36866498</v>
      </c>
      <c r="AF12">
        <f>AE12+AE16</f>
        <v>15.678389074</v>
      </c>
      <c r="AG12">
        <f>AE12-AE16</f>
        <v>15.058940886</v>
      </c>
    </row>
    <row r="13" spans="1:33" x14ac:dyDescent="0.35">
      <c r="A13" s="1">
        <v>3.9736948010000002</v>
      </c>
      <c r="B13">
        <f>A13+A17</f>
        <v>4.0921030460000001</v>
      </c>
      <c r="C13">
        <f>A13-A17</f>
        <v>3.8552865560000003</v>
      </c>
      <c r="D13" s="1">
        <v>3.4747671410000001</v>
      </c>
      <c r="E13">
        <f>D13+D17</f>
        <v>3.762022209</v>
      </c>
      <c r="F13">
        <f>D13-D17</f>
        <v>3.1875120730000002</v>
      </c>
      <c r="G13" s="1">
        <v>4.232208967</v>
      </c>
      <c r="H13">
        <f>G13+G17</f>
        <v>4.4479348989999998</v>
      </c>
      <c r="I13">
        <f>G13-G17</f>
        <v>4.0164830350000003</v>
      </c>
      <c r="J13" s="1">
        <v>4.3308392759999998</v>
      </c>
      <c r="K13">
        <f>J13+J17</f>
        <v>4.498618316</v>
      </c>
      <c r="L13">
        <f>J13-J17</f>
        <v>4.1630602359999997</v>
      </c>
      <c r="M13" s="1">
        <v>4.1534192560000003</v>
      </c>
      <c r="N13">
        <f>M13+M17</f>
        <v>4.799982354</v>
      </c>
      <c r="O13">
        <f>M13-M17</f>
        <v>3.5068561580000002</v>
      </c>
      <c r="P13" s="1">
        <v>4.4311825039999997</v>
      </c>
      <c r="Q13">
        <f>P13+P17</f>
        <v>4.6052842389999995</v>
      </c>
      <c r="R13">
        <f>P13-P17</f>
        <v>4.2570807689999999</v>
      </c>
      <c r="S13" s="1">
        <v>4.0014736060000002</v>
      </c>
      <c r="T13">
        <f>S13+S17</f>
        <v>4.1620838940000002</v>
      </c>
      <c r="U13">
        <f>S13-S17</f>
        <v>3.8408633180000002</v>
      </c>
      <c r="V13" s="1">
        <v>4.7076784370000002</v>
      </c>
      <c r="W13">
        <f>V13+V17</f>
        <v>5.2701798310000001</v>
      </c>
      <c r="X13">
        <f>V13-V17</f>
        <v>4.1451770430000003</v>
      </c>
      <c r="Y13" s="1">
        <v>4.3816028830000002</v>
      </c>
      <c r="Z13">
        <f>Y13+Y17</f>
        <v>5.0117866000000006</v>
      </c>
      <c r="AA13">
        <f>Y13-Y17</f>
        <v>3.7514191660000002</v>
      </c>
      <c r="AB13" s="1">
        <v>5.1357114020000001</v>
      </c>
      <c r="AC13">
        <f>AB13+AB17</f>
        <v>5.5977079200000004</v>
      </c>
      <c r="AD13">
        <f>AB13-AB17</f>
        <v>4.6737148839999998</v>
      </c>
      <c r="AE13" s="1">
        <v>5.9615473750000003</v>
      </c>
      <c r="AF13">
        <f>AE13+AE17</f>
        <v>6.7477326660000001</v>
      </c>
      <c r="AG13">
        <f>AE13-AE17</f>
        <v>5.1753620840000005</v>
      </c>
    </row>
    <row r="14" spans="1:33" x14ac:dyDescent="0.35">
      <c r="A14" s="1">
        <v>2.710234501</v>
      </c>
      <c r="B14">
        <f>A14+A18</f>
        <v>2.7772501360000001</v>
      </c>
      <c r="C14">
        <f>A14-A18</f>
        <v>2.6432188659999998</v>
      </c>
      <c r="D14" s="1">
        <v>2.633606935</v>
      </c>
      <c r="E14">
        <f>D14+D18</f>
        <v>3.219913816</v>
      </c>
      <c r="F14">
        <f>D14-D18</f>
        <v>2.0473000539999999</v>
      </c>
      <c r="G14" s="1">
        <v>1.1127917919999999</v>
      </c>
      <c r="H14">
        <f>G14+G18</f>
        <v>1.1723091149999998</v>
      </c>
      <c r="I14">
        <f>G14-G18</f>
        <v>1.053274469</v>
      </c>
      <c r="J14" s="1">
        <v>2.4038936909999999</v>
      </c>
      <c r="K14">
        <f>J14+J18</f>
        <v>2.5809375659999998</v>
      </c>
      <c r="L14">
        <f>J14-J18</f>
        <v>2.2268498160000001</v>
      </c>
      <c r="M14" s="1">
        <v>3.2501405179999998</v>
      </c>
      <c r="N14">
        <f>M14+M18</f>
        <v>4.2160764400000001</v>
      </c>
      <c r="O14">
        <f>M14-M18</f>
        <v>2.2842045959999999</v>
      </c>
      <c r="P14" s="1">
        <v>2.6461128440000001</v>
      </c>
      <c r="Q14">
        <f>P14+P18</f>
        <v>2.8350035570000003</v>
      </c>
      <c r="R14">
        <f>P14-P18</f>
        <v>2.457222131</v>
      </c>
      <c r="S14" s="1">
        <v>2.0294176039999998</v>
      </c>
      <c r="T14">
        <f>S14+S18</f>
        <v>2.1407234749999997</v>
      </c>
      <c r="U14">
        <f>S14-S18</f>
        <v>1.9181117329999999</v>
      </c>
      <c r="V14" s="1">
        <v>1.5285465309999999</v>
      </c>
      <c r="W14">
        <f>V14+V18</f>
        <v>1.6993704859999998</v>
      </c>
      <c r="X14">
        <f>V14-V18</f>
        <v>1.357722576</v>
      </c>
      <c r="Y14" s="1">
        <v>2.0039532740000001</v>
      </c>
      <c r="Z14">
        <f>Y14+Y18</f>
        <v>2.3262898660000002</v>
      </c>
      <c r="AA14">
        <f>Y14-Y18</f>
        <v>1.681616682</v>
      </c>
      <c r="AB14" s="1">
        <v>2.9339711589999999</v>
      </c>
      <c r="AC14">
        <f>AB14+AB18</f>
        <v>3.613334461</v>
      </c>
      <c r="AD14">
        <f>AB14-AB18</f>
        <v>2.2546078569999999</v>
      </c>
      <c r="AE14" s="1">
        <v>1.904185027</v>
      </c>
      <c r="AF14">
        <f>AE14+AE18</f>
        <v>2.3367965330000002</v>
      </c>
      <c r="AG14">
        <f>AE14-AE18</f>
        <v>1.4715735210000001</v>
      </c>
    </row>
    <row r="15" spans="1:33" x14ac:dyDescent="0.35">
      <c r="A15" s="1">
        <v>1.9291286510000001</v>
      </c>
      <c r="B15">
        <f>A15+A19</f>
        <v>1.9760221960000002</v>
      </c>
      <c r="C15">
        <f>A15-A19</f>
        <v>1.882235106</v>
      </c>
      <c r="D15" s="1">
        <v>1.8123989250000001</v>
      </c>
      <c r="E15">
        <f>D15+D19</f>
        <v>1.9394160890000001</v>
      </c>
      <c r="F15">
        <f>D15-D19</f>
        <v>1.6853817610000001</v>
      </c>
      <c r="G15" s="1">
        <v>1.950793743</v>
      </c>
      <c r="H15">
        <f>G15+G19</f>
        <v>2.0776979550000001</v>
      </c>
      <c r="I15">
        <f>G15-G19</f>
        <v>1.8238895310000001</v>
      </c>
      <c r="J15" s="1">
        <v>1.8962831499999999</v>
      </c>
      <c r="K15">
        <f>J15+J19</f>
        <v>1.9671311649999998</v>
      </c>
      <c r="L15">
        <f>J15-J19</f>
        <v>1.825435135</v>
      </c>
      <c r="M15" s="1">
        <v>2.2838308810000001</v>
      </c>
      <c r="N15">
        <f>M15+M19</f>
        <v>2.5164544879999999</v>
      </c>
      <c r="O15">
        <f>M15-M19</f>
        <v>2.0512072740000002</v>
      </c>
      <c r="P15" s="1">
        <v>2.0806237460000001</v>
      </c>
      <c r="Q15">
        <f>P15+P19</f>
        <v>2.1611316500000002</v>
      </c>
      <c r="R15">
        <f>P15-P19</f>
        <v>2.000115842</v>
      </c>
      <c r="S15" s="1">
        <v>1.67382282</v>
      </c>
      <c r="T15">
        <f>S15+S19</f>
        <v>1.7472278450000001</v>
      </c>
      <c r="U15">
        <f>S15-S19</f>
        <v>1.600417795</v>
      </c>
      <c r="V15" s="1">
        <v>1.9349431989999999</v>
      </c>
      <c r="W15">
        <f>V15+V19</f>
        <v>2.1742789579999999</v>
      </c>
      <c r="X15">
        <f>V15-V19</f>
        <v>1.6956074399999999</v>
      </c>
      <c r="Y15" s="1">
        <v>1.9068658350000001</v>
      </c>
      <c r="Z15">
        <f>Y15+Y19</f>
        <v>2.1382534670000002</v>
      </c>
      <c r="AA15">
        <f>Y15-Y19</f>
        <v>1.6754782029999999</v>
      </c>
      <c r="AB15" s="1">
        <v>1.719951749</v>
      </c>
      <c r="AC15">
        <f>AB15+AB19</f>
        <v>1.95996729</v>
      </c>
      <c r="AD15">
        <f>AB15-AB19</f>
        <v>1.479936208</v>
      </c>
      <c r="AE15" s="1">
        <v>1.366675377</v>
      </c>
      <c r="AF15">
        <f>AE15+AE19</f>
        <v>1.8473292909999999</v>
      </c>
      <c r="AG15">
        <f>AE15-AE19</f>
        <v>0.88602146299999995</v>
      </c>
    </row>
    <row r="16" spans="1:33" x14ac:dyDescent="0.35">
      <c r="A16" s="1">
        <v>1.5705462999999999E-2</v>
      </c>
      <c r="B16" t="str">
        <f>IF(AND(B12&lt;=B2,B12&gt;=C2),"CASE 2",IF(AND(C12&lt;=B2,C12&gt;=C2),"CASE 1",IF(AND(B12&gt;=B2,C12&lt;=C2),"CASE 3",IF(AND(B12&lt;=B2,C12&gt;=C2),"CASE 4",FALSE()))))</f>
        <v>CASE 1</v>
      </c>
      <c r="C16">
        <f>ABS(A12-A$2)</f>
        <v>6.4752100000013968E-3</v>
      </c>
      <c r="D16" s="1">
        <v>0.177579241</v>
      </c>
      <c r="E16" t="str">
        <f>IF(AND(E12&lt;=E2,E12&gt;=F2),"CASE 2",IF(AND(F12&lt;=E2,F12&gt;=F2),"CASE 1",IF(AND(E12&gt;=E2,F12&lt;=F2),"CASE 3",IF(AND(E12&lt;=E2,F12&gt;=F2),"CASE 4",FALSE()))))</f>
        <v>CASE 3</v>
      </c>
      <c r="F16">
        <f>ABS(D12-D$2)</f>
        <v>3.191136999999955E-2</v>
      </c>
      <c r="G16" s="1">
        <v>2.8563783999999998E-2</v>
      </c>
      <c r="H16" t="str">
        <f>IF(AND(H12&lt;=H2,H12&gt;=I2),"CASE 2",IF(AND(I12&lt;=H2,I12&gt;=I2),"CASE 1",IF(AND(H12&gt;=H2,I12&lt;=I2),"CASE 3",IF(AND(H12&lt;=H2,I12&gt;=I2),"CASE 4",FALSE()))))</f>
        <v>CASE 3</v>
      </c>
      <c r="I16">
        <f>ABS(G12-G$2)</f>
        <v>5.7166200000011713E-3</v>
      </c>
      <c r="J16" s="1">
        <v>4.4262871000000002E-2</v>
      </c>
      <c r="K16" t="b">
        <f>IF(AND(K12&lt;=K2,K12&gt;=L2),"CASE 2",IF(AND(L12&lt;=K2,L12&gt;=L2),"CASE 1",IF(AND(K12&gt;=K2,L12&lt;=L2),"CASE 3",IF(AND(K12&lt;=K2,L12&gt;=L2),"CASE 4",FALSE()))))</f>
        <v>0</v>
      </c>
      <c r="L16">
        <f>ABS(J12-J$2)</f>
        <v>9.6054020000000406E-2</v>
      </c>
      <c r="M16" s="1">
        <v>0.16629273999999999</v>
      </c>
      <c r="N16" t="b">
        <f>IF(AND(N12&lt;=N2,N12&gt;=O2),"CASE 2",IF(AND(O12&lt;=N2,O12&gt;=O2),"CASE 1",IF(AND(N12&gt;=N2,O12&lt;=O2),"CASE 3",IF(AND(N12&lt;=N2,O12&gt;=O2),"CASE 4",FALSE()))))</f>
        <v>0</v>
      </c>
      <c r="O16">
        <f>ABS(M12-M$2)</f>
        <v>0.25393521999999891</v>
      </c>
      <c r="P16" s="1">
        <v>5.0073316E-2</v>
      </c>
      <c r="Q16" t="str">
        <f>IF(AND(Q12&lt;=Q2,Q12&gt;=R2),"CASE 2",IF(AND(R12&lt;=Q2,R12&gt;=R2),"CASE 1",IF(AND(Q12&gt;=Q2,R12&lt;=R2),"CASE 3",IF(AND(Q12&lt;=Q2,R12&gt;=R2),"CASE 4",FALSE()))))</f>
        <v>CASE 1</v>
      </c>
      <c r="R16">
        <f>ABS(P12-P$2)</f>
        <v>5.4125280000000942E-2</v>
      </c>
      <c r="S16" s="1">
        <v>3.0065373999999999E-2</v>
      </c>
      <c r="T16" t="str">
        <f>IF(AND(T12&lt;=T2,T12&gt;=U2),"CASE 2",IF(AND(U12&lt;=T2,U12&gt;=U2),"CASE 1",IF(AND(T12&gt;=T2,U12&lt;=U2),"CASE 3",IF(AND(T12&lt;=T2,U12&gt;=U2),"CASE 4",FALSE()))))</f>
        <v>CASE 1</v>
      </c>
      <c r="U16">
        <f>ABS(S12-S$2)</f>
        <v>1.0350349999999509E-2</v>
      </c>
      <c r="V16" s="1">
        <v>6.9224340999999995E-2</v>
      </c>
      <c r="W16" t="str">
        <f>IF(AND(W12&lt;=W2,W12&gt;=X2),"CASE 2",IF(AND(X12&lt;=W2,X12&gt;=X2),"CASE 1",IF(AND(W12&gt;=W2,X12&lt;=X2),"CASE 3",IF(AND(W12&lt;=W2,X12&gt;=X2),"CASE 4",FALSE()))))</f>
        <v>CASE 1</v>
      </c>
      <c r="X16">
        <f>ABS(V12-V$2)</f>
        <v>6.9797989999999643E-2</v>
      </c>
      <c r="Y16" s="1">
        <v>7.5807677000000004E-2</v>
      </c>
      <c r="Z16" t="str">
        <f>IF(AND(Z12&lt;=Z2,Z12&gt;=AA2),"CASE 2",IF(AND(AA12&lt;=Z2,AA12&gt;=AA2),"CASE 1",IF(AND(Z12&gt;=Z2,AA12&lt;=AA2),"CASE 3",IF(AND(Z12&lt;=Z2,AA12&gt;=AA2),"CASE 4",FALSE()))))</f>
        <v>CASE 1</v>
      </c>
      <c r="AA16">
        <f>ABS(Y12-Y$2)</f>
        <v>4.9053439999999782E-2</v>
      </c>
      <c r="AB16" s="1">
        <v>0.120086134</v>
      </c>
      <c r="AC16" t="str">
        <f>IF(AND(AC12&lt;=AC2,AC12&gt;=AD2),"CASE 2",IF(AND(AD12&lt;=AC2,AD12&gt;=AD2),"CASE 1",IF(AND(AC12&gt;=AC2,AD12&lt;=AD2),"CASE 3",IF(AND(AC12&lt;=AC2,AD12&gt;=AD2),"CASE 4",FALSE()))))</f>
        <v>CASE 3</v>
      </c>
      <c r="AD16">
        <f>ABS(AB12-AB$2)</f>
        <v>7.7404899999997667E-3</v>
      </c>
      <c r="AE16" s="1">
        <v>0.30972409400000001</v>
      </c>
      <c r="AF16" t="str">
        <f>IF(AND(AF12&lt;=AF2,AF12&gt;=AG2),"CASE 2",IF(AND(AG12&lt;=AF2,AG12&gt;=AG2),"CASE 1",IF(AND(AF12&gt;=AF2,AG12&lt;=AG2),"CASE 3",IF(AND(AF12&lt;=AF2,AG12&gt;=AG2),"CASE 4",FALSE()))))</f>
        <v>CASE 1</v>
      </c>
      <c r="AG16">
        <f>ABS(AE12-AE$2)</f>
        <v>0.21502053999999937</v>
      </c>
    </row>
    <row r="17" spans="1:34" x14ac:dyDescent="0.35">
      <c r="A17" s="1">
        <v>0.118408245</v>
      </c>
      <c r="B17" t="str">
        <f t="shared" ref="B17:B19" si="0">IF(AND(B13&lt;=B3,B13&gt;=C3),"CASE 2",IF(AND(C13&lt;=B3,C13&gt;=C3),"CASE 1",IF(AND(B13&gt;=B3,C13&lt;=C3),"CASE 3",IF(AND(B13&lt;=B3,C13&gt;=C3),"CASE 4",FALSE()))))</f>
        <v>CASE 3</v>
      </c>
      <c r="C17">
        <f>ABS(A13-A$3)</f>
        <v>3.3737898000000044E-2</v>
      </c>
      <c r="D17" s="1">
        <v>0.287255068</v>
      </c>
      <c r="E17" t="str">
        <f t="shared" ref="E17:E19" si="1">IF(AND(E13&lt;=E3,E13&gt;=F3),"CASE 2",IF(AND(F13&lt;=E3,F13&gt;=F3),"CASE 1",IF(AND(E13&gt;=E3,F13&lt;=F3),"CASE 3",IF(AND(E13&lt;=E3,F13&gt;=F3),"CASE 4",FALSE()))))</f>
        <v>CASE 3</v>
      </c>
      <c r="F17">
        <f>ABS(D13-D$3)</f>
        <v>1.5535585999999935E-2</v>
      </c>
      <c r="G17" s="1">
        <v>0.21572593200000001</v>
      </c>
      <c r="H17" t="str">
        <f t="shared" ref="H17:H19" si="2">IF(AND(H13&lt;=H3,H13&gt;=I3),"CASE 2",IF(AND(I13&lt;=H3,I13&gt;=I3),"CASE 1",IF(AND(H13&gt;=H3,I13&lt;=I3),"CASE 3",IF(AND(H13&lt;=H3,I13&gt;=I3),"CASE 4",FALSE()))))</f>
        <v>CASE 3</v>
      </c>
      <c r="I17">
        <f>ABS(G13-G$3)</f>
        <v>3.5434601000000399E-2</v>
      </c>
      <c r="J17" s="1">
        <v>0.16777903999999999</v>
      </c>
      <c r="K17" t="str">
        <f t="shared" ref="K17:K19" si="3">IF(AND(K13&lt;=K3,K13&gt;=L3),"CASE 2",IF(AND(L13&lt;=K3,L13&gt;=L3),"CASE 1",IF(AND(K13&gt;=K3,L13&lt;=L3),"CASE 3",IF(AND(K13&lt;=K3,L13&gt;=L3),"CASE 4",FALSE()))))</f>
        <v>CASE 1</v>
      </c>
      <c r="L17">
        <f>ABS(J13-J$3)</f>
        <v>0.11119878299999986</v>
      </c>
      <c r="M17" s="1">
        <v>0.646563098</v>
      </c>
      <c r="N17" t="b">
        <f t="shared" ref="N17:N19" si="4">IF(AND(N13&lt;=N3,N13&gt;=O3),"CASE 2",IF(AND(O13&lt;=N3,O13&gt;=O3),"CASE 1",IF(AND(N13&gt;=N3,O13&lt;=O3),"CASE 3",IF(AND(N13&lt;=N3,O13&gt;=O3),"CASE 4",FALSE()))))</f>
        <v>0</v>
      </c>
      <c r="O17">
        <f>ABS(M13-M$3)</f>
        <v>1.1301743830000004</v>
      </c>
      <c r="P17" s="1">
        <v>0.17410173500000001</v>
      </c>
      <c r="Q17" t="str">
        <f t="shared" ref="Q17:Q19" si="5">IF(AND(Q13&lt;=Q3,Q13&gt;=R3),"CASE 2",IF(AND(R13&lt;=Q3,R13&gt;=R3),"CASE 1",IF(AND(Q13&gt;=Q3,R13&lt;=R3),"CASE 3",IF(AND(Q13&lt;=Q3,R13&gt;=R3),"CASE 4",FALSE()))))</f>
        <v>CASE 1</v>
      </c>
      <c r="R17">
        <f>ABS(P13-P$3)</f>
        <v>6.0927748999999309E-2</v>
      </c>
      <c r="S17" s="1">
        <v>0.16061028799999999</v>
      </c>
      <c r="T17" t="str">
        <f t="shared" ref="T17:T19" si="6">IF(AND(T13&lt;=T3,T13&gt;=U3),"CASE 2",IF(AND(U13&lt;=T3,U13&gt;=U3),"CASE 1",IF(AND(T13&gt;=T3,U13&lt;=U3),"CASE 3",IF(AND(T13&lt;=T3,U13&gt;=U3),"CASE 4",FALSE()))))</f>
        <v>CASE 1</v>
      </c>
      <c r="U17">
        <f>ABS(S13-S$3)</f>
        <v>7.619845900000044E-2</v>
      </c>
      <c r="V17" s="1">
        <v>0.56250139399999999</v>
      </c>
      <c r="W17" t="str">
        <f t="shared" ref="W17:W19" si="7">IF(AND(W13&lt;=W3,W13&gt;=X3),"CASE 2",IF(AND(X13&lt;=W3,X13&gt;=X3),"CASE 1",IF(AND(W13&gt;=W3,X13&lt;=X3),"CASE 3",IF(AND(W13&lt;=W3,X13&gt;=X3),"CASE 4",FALSE()))))</f>
        <v>CASE 1</v>
      </c>
      <c r="X17">
        <f>ABS(V13-V$3)</f>
        <v>0.329757839</v>
      </c>
      <c r="Y17" s="1">
        <v>0.63018371699999998</v>
      </c>
      <c r="Z17" t="str">
        <f t="shared" ref="Z17:Z19" si="8">IF(AND(Z13&lt;=Z3,Z13&gt;=AA3),"CASE 2",IF(AND(AA13&lt;=Z3,AA13&gt;=AA3),"CASE 1",IF(AND(Z13&gt;=Z3,AA13&lt;=AA3),"CASE 3",IF(AND(Z13&lt;=Z3,AA13&gt;=AA3),"CASE 4",FALSE()))))</f>
        <v>CASE 1</v>
      </c>
      <c r="AA17">
        <f>ABS(Y13-Y$3)</f>
        <v>0.34008856099999996</v>
      </c>
      <c r="AB17" s="1">
        <v>0.46199651800000002</v>
      </c>
      <c r="AC17" t="str">
        <f t="shared" ref="AC17:AC19" si="9">IF(AND(AC13&lt;=AC3,AC13&gt;=AD3),"CASE 2",IF(AND(AD13&lt;=AC3,AD13&gt;=AD3),"CASE 1",IF(AND(AC13&gt;=AC3,AD13&lt;=AD3),"CASE 3",IF(AND(AC13&lt;=AC3,AD13&gt;=AD3),"CASE 4",FALSE()))))</f>
        <v>CASE 1</v>
      </c>
      <c r="AD17">
        <f>ABS(AB13-AB$3)</f>
        <v>0.67746391900000003</v>
      </c>
      <c r="AE17" s="1">
        <v>0.78618529100000001</v>
      </c>
      <c r="AF17" t="str">
        <f t="shared" ref="AF17:AF19" si="10">IF(AND(AF13&lt;=AF3,AF13&gt;=AG3),"CASE 2",IF(AND(AG13&lt;=AF3,AG13&gt;=AG3),"CASE 1",IF(AND(AF13&gt;=AF3,AG13&lt;=AG3),"CASE 3",IF(AND(AF13&lt;=AF3,AG13&gt;=AG3),"CASE 4",FALSE()))))</f>
        <v>CASE 1</v>
      </c>
      <c r="AG17">
        <f>ABS(AE13-AE$3)</f>
        <v>0.70398640700000037</v>
      </c>
    </row>
    <row r="18" spans="1:34" x14ac:dyDescent="0.35">
      <c r="A18" s="1">
        <v>6.7015635000000004E-2</v>
      </c>
      <c r="B18" t="str">
        <f t="shared" si="0"/>
        <v>CASE 1</v>
      </c>
      <c r="C18">
        <f>ABS(A14-A$4)</f>
        <v>2.8186106000000155E-2</v>
      </c>
      <c r="D18" s="1">
        <v>0.58630688099999995</v>
      </c>
      <c r="E18" t="str">
        <f t="shared" si="1"/>
        <v>CASE 3</v>
      </c>
      <c r="F18">
        <f>ABS(D14-D$4)</f>
        <v>6.0787772999999934E-2</v>
      </c>
      <c r="G18" s="1">
        <v>5.9517322999999997E-2</v>
      </c>
      <c r="H18" t="str">
        <f t="shared" si="2"/>
        <v>CASE 3</v>
      </c>
      <c r="I18">
        <f>ABS(G14-G$4)</f>
        <v>1.5750569999999353E-3</v>
      </c>
      <c r="J18" s="1">
        <v>0.17704387499999999</v>
      </c>
      <c r="K18" t="b">
        <f t="shared" si="3"/>
        <v>0</v>
      </c>
      <c r="L18">
        <f>ABS(J14-J$4)</f>
        <v>0.32162597299999973</v>
      </c>
      <c r="M18" s="1">
        <v>0.965935922</v>
      </c>
      <c r="N18" t="str">
        <f t="shared" si="4"/>
        <v>CASE 1</v>
      </c>
      <c r="O18">
        <f>ABS(M14-M$4)</f>
        <v>1.2633019649999999</v>
      </c>
      <c r="P18" s="1">
        <v>0.18889071299999999</v>
      </c>
      <c r="Q18" t="str">
        <f t="shared" si="5"/>
        <v>CASE 1</v>
      </c>
      <c r="R18">
        <f>ABS(P14-P$4)</f>
        <v>0.16056029800000005</v>
      </c>
      <c r="S18" s="1">
        <v>0.111305871</v>
      </c>
      <c r="T18" t="str">
        <f t="shared" si="6"/>
        <v>CASE 3</v>
      </c>
      <c r="U18">
        <f>ABS(S14-S$4)</f>
        <v>2.1425473999999944E-2</v>
      </c>
      <c r="V18" s="1">
        <v>0.170823955</v>
      </c>
      <c r="W18" t="str">
        <f t="shared" si="7"/>
        <v>CASE 1</v>
      </c>
      <c r="X18">
        <f>ABS(V14-V$4)</f>
        <v>9.2092644999999917E-2</v>
      </c>
      <c r="Y18" s="1">
        <v>0.32233659199999998</v>
      </c>
      <c r="Z18" t="str">
        <f t="shared" si="8"/>
        <v>CASE 3</v>
      </c>
      <c r="AA18">
        <f>ABS(Y14-Y$4)</f>
        <v>7.3029276000000198E-2</v>
      </c>
      <c r="AB18" s="1">
        <v>0.67936330199999995</v>
      </c>
      <c r="AC18" t="str">
        <f t="shared" si="9"/>
        <v>CASE 2</v>
      </c>
      <c r="AD18">
        <f>ABS(AB14-AB$4)</f>
        <v>0.28071467999999999</v>
      </c>
      <c r="AE18" s="1">
        <v>0.43261150599999998</v>
      </c>
      <c r="AF18" t="str">
        <f t="shared" si="10"/>
        <v>CASE 1</v>
      </c>
      <c r="AG18">
        <f>ABS(AE14-AE$4)</f>
        <v>0.14289551199999995</v>
      </c>
    </row>
    <row r="19" spans="1:34" x14ac:dyDescent="0.35">
      <c r="A19" s="1">
        <v>4.6893545000000002E-2</v>
      </c>
      <c r="B19" t="str">
        <f t="shared" si="0"/>
        <v>CASE 3</v>
      </c>
      <c r="C19">
        <f>ABS(A15-A$5)</f>
        <v>6.0176400000000463E-4</v>
      </c>
      <c r="D19" s="1">
        <v>0.12701716399999999</v>
      </c>
      <c r="E19" t="str">
        <f t="shared" si="1"/>
        <v>CASE 2</v>
      </c>
      <c r="F19">
        <f>ABS(D15-D$5)</f>
        <v>4.3808206999999877E-2</v>
      </c>
      <c r="G19" s="1">
        <v>0.12690421199999999</v>
      </c>
      <c r="H19" t="str">
        <f t="shared" si="2"/>
        <v>CASE 3</v>
      </c>
      <c r="I19">
        <f>ABS(G15-G$5)</f>
        <v>2.5027989999999445E-3</v>
      </c>
      <c r="J19" s="1">
        <v>7.0848015E-2</v>
      </c>
      <c r="K19" t="str">
        <f t="shared" si="3"/>
        <v>CASE 3</v>
      </c>
      <c r="L19">
        <f>ABS(J15-J$5)</f>
        <v>1.729428700000013E-2</v>
      </c>
      <c r="M19" s="1">
        <v>0.23262360700000001</v>
      </c>
      <c r="N19" t="str">
        <f t="shared" si="4"/>
        <v>CASE 1</v>
      </c>
      <c r="O19">
        <f>ABS(M15-M$5)</f>
        <v>0.28224348999999993</v>
      </c>
      <c r="P19" s="1">
        <v>8.0507904000000005E-2</v>
      </c>
      <c r="Q19" t="str">
        <f t="shared" si="5"/>
        <v>CASE 3</v>
      </c>
      <c r="R19">
        <f>ABS(P15-P$5)</f>
        <v>2.0279884000000248E-2</v>
      </c>
      <c r="S19" s="1">
        <v>7.3405024999999999E-2</v>
      </c>
      <c r="T19" t="str">
        <f t="shared" si="6"/>
        <v>CASE 1</v>
      </c>
      <c r="U19">
        <f>ABS(S15-S$5)</f>
        <v>2.4683416000000014E-2</v>
      </c>
      <c r="V19" s="1">
        <v>0.23933575900000001</v>
      </c>
      <c r="W19" t="str">
        <f t="shared" si="7"/>
        <v>CASE 3</v>
      </c>
      <c r="X19">
        <f>ABS(V15-V$5)</f>
        <v>4.3593884000000083E-2</v>
      </c>
      <c r="Y19" s="1">
        <v>0.23138763200000001</v>
      </c>
      <c r="Z19" t="str">
        <f t="shared" si="8"/>
        <v>CASE 1</v>
      </c>
      <c r="AA19">
        <f>ABS(Y15-Y$5)</f>
        <v>0.14231142400000008</v>
      </c>
      <c r="AB19" s="1">
        <v>0.240015541</v>
      </c>
      <c r="AC19" t="str">
        <f t="shared" si="9"/>
        <v>CASE 3</v>
      </c>
      <c r="AD19">
        <f>ABS(AB15-AB$5)</f>
        <v>3.4049149999999528E-3</v>
      </c>
      <c r="AE19" s="1">
        <v>0.48065391400000002</v>
      </c>
      <c r="AF19" t="str">
        <f t="shared" si="10"/>
        <v>CASE 2</v>
      </c>
      <c r="AG19">
        <f>ABS(AE15-AE$5)</f>
        <v>0.15067958800000003</v>
      </c>
      <c r="AH19" t="s">
        <v>17</v>
      </c>
    </row>
    <row r="20" spans="1:34" x14ac:dyDescent="0.35">
      <c r="B20" t="s">
        <v>16</v>
      </c>
      <c r="C20">
        <f>SUM(C16:C19)</f>
        <v>6.90009780000016E-2</v>
      </c>
      <c r="E20" t="s">
        <v>16</v>
      </c>
      <c r="F20">
        <f>SUM(F16:F19)</f>
        <v>0.1520429359999993</v>
      </c>
      <c r="H20" t="s">
        <v>16</v>
      </c>
      <c r="I20">
        <f>SUM(I16:I19)</f>
        <v>4.522907700000145E-2</v>
      </c>
      <c r="K20" t="s">
        <v>16</v>
      </c>
      <c r="L20">
        <f>SUM(L16:L19)</f>
        <v>0.54617306300000013</v>
      </c>
      <c r="N20" t="s">
        <v>16</v>
      </c>
      <c r="O20">
        <f>SUM(O16:O19)</f>
        <v>2.9296550579999989</v>
      </c>
      <c r="Q20" t="s">
        <v>16</v>
      </c>
      <c r="R20">
        <f>SUM(R16:R19)</f>
        <v>0.29589321100000054</v>
      </c>
      <c r="T20" t="s">
        <v>16</v>
      </c>
      <c r="U20">
        <f>SUM(U16:U19)</f>
        <v>0.13265769899999991</v>
      </c>
      <c r="W20" t="s">
        <v>16</v>
      </c>
      <c r="X20">
        <f>SUM(X16:X19)</f>
        <v>0.53524235799999964</v>
      </c>
      <c r="Z20" t="s">
        <v>16</v>
      </c>
      <c r="AA20">
        <f>SUM(AA16:AA19)</f>
        <v>0.60448270100000001</v>
      </c>
      <c r="AC20" t="s">
        <v>16</v>
      </c>
      <c r="AD20">
        <f>SUM(AD16:AD19)</f>
        <v>0.96932400399999974</v>
      </c>
      <c r="AF20" t="s">
        <v>16</v>
      </c>
      <c r="AG20">
        <f>SUM(AG16:AG19)</f>
        <v>1.2125820469999997</v>
      </c>
      <c r="AH20">
        <f>SUM(F16:F19,C16:C19,I16:I19,L16:L19,O16:O19,R16:R19,U16:U19,X16:X19,AA16:AA19,AD16:AD19,AG16:AG19)</f>
        <v>7.4922831320000025</v>
      </c>
    </row>
    <row r="21" spans="1:34" hidden="1" x14ac:dyDescent="0.35">
      <c r="A21" s="1" t="s">
        <v>2</v>
      </c>
    </row>
    <row r="22" spans="1:34" hidden="1" x14ac:dyDescent="0.35">
      <c r="A22" s="1">
        <v>16.43207073</v>
      </c>
      <c r="B22">
        <f>A22+A26</f>
        <v>16.520500488669999</v>
      </c>
      <c r="C22">
        <f>A22-A26</f>
        <v>16.34364097133</v>
      </c>
      <c r="D22" s="1">
        <v>15.45696497</v>
      </c>
      <c r="E22">
        <f>D22+D26</f>
        <v>15.9500438727</v>
      </c>
      <c r="F22">
        <f>D22-D26</f>
        <v>14.963886067299999</v>
      </c>
      <c r="G22" s="1">
        <v>15.90948081</v>
      </c>
      <c r="H22">
        <f>G22+G26</f>
        <v>16.00502529513</v>
      </c>
      <c r="I22">
        <f>G22-G26</f>
        <v>15.813936324869999</v>
      </c>
      <c r="J22" s="1">
        <v>15.871792320000001</v>
      </c>
      <c r="K22">
        <f>J22+J26</f>
        <v>16.0203166075</v>
      </c>
      <c r="L22">
        <f>J22-J26</f>
        <v>15.7232680325</v>
      </c>
      <c r="M22" s="1">
        <v>15.8119061</v>
      </c>
      <c r="N22">
        <f>M22+M26</f>
        <v>16.2958368382</v>
      </c>
      <c r="O22">
        <f>M22-M26</f>
        <v>15.3279753618</v>
      </c>
      <c r="P22" s="1">
        <v>15.724308069999999</v>
      </c>
      <c r="Q22">
        <f>P22+P26</f>
        <v>15.8927751661</v>
      </c>
      <c r="R22">
        <f>P22-P26</f>
        <v>15.555840973899999</v>
      </c>
      <c r="S22" s="1">
        <v>16.08496225</v>
      </c>
      <c r="T22">
        <f>S22+S26</f>
        <v>16.180545249000001</v>
      </c>
      <c r="U22">
        <f>S22-S26</f>
        <v>15.989379251000001</v>
      </c>
      <c r="V22" s="1">
        <v>14.82395077</v>
      </c>
      <c r="W22">
        <f>V22+V26</f>
        <v>15.0706512635</v>
      </c>
      <c r="X22">
        <f>V22-V26</f>
        <v>14.577250276499999</v>
      </c>
      <c r="Y22" s="1">
        <v>14.78333473</v>
      </c>
      <c r="Z22">
        <f>Y22+Y26</f>
        <v>15.0426574032</v>
      </c>
      <c r="AA22">
        <f>Y22-Y26</f>
        <v>14.5240120568</v>
      </c>
      <c r="AB22" s="1">
        <v>15.014064550000001</v>
      </c>
      <c r="AC22">
        <f>AB22+AB26</f>
        <v>15.405841045300001</v>
      </c>
      <c r="AD22">
        <f>AB22-AB26</f>
        <v>14.6222880547</v>
      </c>
      <c r="AE22" s="1">
        <v>15.994587900000001</v>
      </c>
      <c r="AF22">
        <f>AE22+AE26</f>
        <v>16.792318103300001</v>
      </c>
      <c r="AG22">
        <f>AE22-AE26</f>
        <v>15.1968576967</v>
      </c>
    </row>
    <row r="23" spans="1:34" hidden="1" x14ac:dyDescent="0.35">
      <c r="A23" s="1">
        <v>4.3758046630000003</v>
      </c>
      <c r="B23">
        <f>A23+A27</f>
        <v>5.3648045461000002</v>
      </c>
      <c r="C23">
        <f>A23-A27</f>
        <v>3.3868047799000003</v>
      </c>
      <c r="D23" s="1">
        <v>3.66436553</v>
      </c>
      <c r="E23">
        <f>D23+D27</f>
        <v>4.7310086380000005</v>
      </c>
      <c r="F23">
        <f>D23-D27</f>
        <v>2.5977224219999999</v>
      </c>
      <c r="G23" s="1">
        <v>4.314813107</v>
      </c>
      <c r="H23">
        <f>G23+G27</f>
        <v>5.0638773537999997</v>
      </c>
      <c r="I23">
        <f>G23-G27</f>
        <v>3.5657488601999998</v>
      </c>
      <c r="J23" s="1">
        <v>4.2401317949999999</v>
      </c>
      <c r="K23">
        <f>J23+J27</f>
        <v>4.8664125793000004</v>
      </c>
      <c r="L23">
        <f>J23-J27</f>
        <v>3.6138510106999999</v>
      </c>
      <c r="M23" s="1">
        <v>4.3517668250000003</v>
      </c>
      <c r="N23">
        <f>M23+M27</f>
        <v>6.3986003470000004</v>
      </c>
      <c r="O23">
        <f>M23-M27</f>
        <v>2.3049333030000003</v>
      </c>
      <c r="P23" s="1">
        <v>4.370222032</v>
      </c>
      <c r="Q23">
        <f>P23+P27</f>
        <v>4.8892955966000002</v>
      </c>
      <c r="R23">
        <f>P23-P27</f>
        <v>3.8511484673999998</v>
      </c>
      <c r="S23" s="1">
        <v>3.9733293060000001</v>
      </c>
      <c r="T23">
        <f>S23+S27</f>
        <v>4.5051446863000004</v>
      </c>
      <c r="U23">
        <f>S23-S27</f>
        <v>3.4415139257000003</v>
      </c>
      <c r="V23" s="1">
        <v>4.1681020860000002</v>
      </c>
      <c r="W23">
        <f>V23+V27</f>
        <v>5.5974595430000003</v>
      </c>
      <c r="X23">
        <f>V23-V27</f>
        <v>2.7387446290000002</v>
      </c>
      <c r="Y23" s="1">
        <v>4.4621226790000001</v>
      </c>
      <c r="Z23">
        <f>Y23+Y27</f>
        <v>6.6102690450000008</v>
      </c>
      <c r="AA23">
        <f>Y23-Y27</f>
        <v>2.313976313</v>
      </c>
      <c r="AB23" s="1">
        <v>5.3168513769999999</v>
      </c>
      <c r="AC23">
        <f>AB23+AB27</f>
        <v>6.8690337760000002</v>
      </c>
      <c r="AD23">
        <f>AB23-AB27</f>
        <v>3.7646689779999996</v>
      </c>
      <c r="AE23" s="1">
        <v>20</v>
      </c>
      <c r="AF23">
        <f>AE23+AE27</f>
        <v>40.329168519999996</v>
      </c>
      <c r="AG23">
        <f>AE23-AE27</f>
        <v>-0.32916851999999963</v>
      </c>
    </row>
    <row r="24" spans="1:34" hidden="1" x14ac:dyDescent="0.35">
      <c r="A24" s="1">
        <v>3.2330894539999999</v>
      </c>
      <c r="B24">
        <f>A24+A27</f>
        <v>4.2220893370999999</v>
      </c>
      <c r="C24">
        <f>A24-A27</f>
        <v>2.2440895708999999</v>
      </c>
      <c r="D24" s="1">
        <v>2.1520342079999999</v>
      </c>
      <c r="E24">
        <f>D24+D27</f>
        <v>3.218677316</v>
      </c>
      <c r="F24">
        <f>D24-D27</f>
        <v>1.0853910999999998</v>
      </c>
      <c r="G24" s="1">
        <v>1.1761884309999999</v>
      </c>
      <c r="H24">
        <f>G24+G27</f>
        <v>1.9252526778000001</v>
      </c>
      <c r="I24">
        <f>G24-G27</f>
        <v>0.42712418419999987</v>
      </c>
      <c r="J24" s="1">
        <v>2.131048769</v>
      </c>
      <c r="K24">
        <f>J24+J27</f>
        <v>2.7573295533</v>
      </c>
      <c r="L24">
        <f>J24-J27</f>
        <v>1.5047679846999999</v>
      </c>
      <c r="M24" s="1">
        <v>3.2137884940000001</v>
      </c>
      <c r="N24">
        <f>M24+M27</f>
        <v>5.2606220160000001</v>
      </c>
      <c r="O24">
        <f>M24-M27</f>
        <v>1.1669549720000001</v>
      </c>
      <c r="P24" s="1">
        <v>3.0372528139999999</v>
      </c>
      <c r="Q24">
        <f>P24+P27</f>
        <v>3.5563263785999997</v>
      </c>
      <c r="R24">
        <f>P24-P27</f>
        <v>2.5181792494000002</v>
      </c>
      <c r="S24" s="1">
        <v>1.9227878979999999</v>
      </c>
      <c r="T24">
        <f>S24+S27</f>
        <v>2.4546032783</v>
      </c>
      <c r="U24">
        <f>S24-S27</f>
        <v>1.3909725176999999</v>
      </c>
      <c r="V24" s="1">
        <v>0.4916254766</v>
      </c>
      <c r="W24">
        <f>V24+V27</f>
        <v>1.9209829335999999</v>
      </c>
      <c r="X24">
        <f>V24-V27</f>
        <v>-0.93773198040000005</v>
      </c>
      <c r="Y24" s="1">
        <v>1.75153479</v>
      </c>
      <c r="Z24">
        <f>Y24+Y27</f>
        <v>3.8996811560000002</v>
      </c>
      <c r="AA24">
        <f>Y24-Y27</f>
        <v>-0.39661157600000019</v>
      </c>
      <c r="AB24" s="1">
        <v>3.253309904</v>
      </c>
      <c r="AC24">
        <f>AB24+AB27</f>
        <v>4.8054923030000003</v>
      </c>
      <c r="AD24">
        <f>AB24-AB27</f>
        <v>1.7011275049999999</v>
      </c>
      <c r="AE24" s="1">
        <v>2.5430605260000001</v>
      </c>
      <c r="AF24">
        <f>AE24+AE27</f>
        <v>22.872229046000001</v>
      </c>
      <c r="AG24">
        <f>AE24-AE27</f>
        <v>-17.786107993999998</v>
      </c>
    </row>
    <row r="25" spans="1:34" hidden="1" x14ac:dyDescent="0.35">
      <c r="A25" s="1">
        <v>1.9330334659999999</v>
      </c>
      <c r="B25">
        <f>A25+A29</f>
        <v>2.1731721463999998</v>
      </c>
      <c r="C25">
        <f>A25-A29</f>
        <v>1.6928947855999998</v>
      </c>
      <c r="D25" s="1">
        <v>1.8122501369999999</v>
      </c>
      <c r="E25">
        <f>D25+D29</f>
        <v>2.2828024338999997</v>
      </c>
      <c r="F25">
        <f>D25-D29</f>
        <v>1.3416978400999999</v>
      </c>
      <c r="G25" s="1">
        <v>1.9653177260000001</v>
      </c>
      <c r="H25">
        <f>G25+G29</f>
        <v>2.4062807113</v>
      </c>
      <c r="I25">
        <f>G25-G29</f>
        <v>1.5243547407000002</v>
      </c>
      <c r="J25" s="1">
        <v>1.9091013670000001</v>
      </c>
      <c r="K25">
        <f>J25+J29</f>
        <v>2.1468827210999999</v>
      </c>
      <c r="L25">
        <f>J25-J29</f>
        <v>1.6713200129000001</v>
      </c>
      <c r="M25" s="1">
        <v>2.2842954400000002</v>
      </c>
      <c r="N25">
        <f>M25+M29</f>
        <v>3.0690158062000004</v>
      </c>
      <c r="O25">
        <f>M25-M29</f>
        <v>1.4995750738000002</v>
      </c>
      <c r="P25" s="1">
        <v>2.0256347360000002</v>
      </c>
      <c r="Q25">
        <f>P25+P29</f>
        <v>2.2938336020000003</v>
      </c>
      <c r="R25">
        <f>P25-P29</f>
        <v>1.7574358700000001</v>
      </c>
      <c r="S25" s="1">
        <v>1.642578471</v>
      </c>
      <c r="T25">
        <f>S25+S29</f>
        <v>1.8883882205</v>
      </c>
      <c r="U25">
        <f>S25-S29</f>
        <v>1.3967687215</v>
      </c>
      <c r="V25" s="1">
        <v>1.6899633409999999</v>
      </c>
      <c r="W25">
        <f>V25+V29</f>
        <v>2.4980237756000001</v>
      </c>
      <c r="X25">
        <f>V25-V29</f>
        <v>0.88190290639999991</v>
      </c>
      <c r="Y25" s="1">
        <v>1.883602142</v>
      </c>
      <c r="Z25">
        <f>Y25+Y29</f>
        <v>2.6690033674000002</v>
      </c>
      <c r="AA25">
        <f>Y25-Y29</f>
        <v>1.0982009166</v>
      </c>
      <c r="AB25" s="1">
        <v>1.7133026119999999</v>
      </c>
      <c r="AC25">
        <f>AB25+AB29</f>
        <v>2.5239111167999999</v>
      </c>
      <c r="AD25">
        <f>AB25-AB29</f>
        <v>0.90269410719999987</v>
      </c>
      <c r="AE25" s="1">
        <v>3.2131652829999999</v>
      </c>
      <c r="AF25">
        <f>AE25+AE29</f>
        <v>13.081415877</v>
      </c>
      <c r="AG25">
        <f>AE25-AE29</f>
        <v>-6.6550853109999988</v>
      </c>
    </row>
    <row r="26" spans="1:34" hidden="1" x14ac:dyDescent="0.35">
      <c r="A26" s="1">
        <v>8.8429758669999997E-2</v>
      </c>
      <c r="B26" t="str">
        <f>IF(AND(B22&lt;=B2,B22&gt;=C2),"CASE 2",IF(AND(C22&lt;=B2,C22&gt;=C2),"CASE 1",IF(AND(B22&gt;=B2,C22&lt;=C2),"CASE 3",IF(AND(B22&lt;=B2,C22&gt;=C2),"CASE 4",FALSE()))))</f>
        <v>CASE 3</v>
      </c>
      <c r="C26">
        <f>ABS(A22-A$2)</f>
        <v>1.4156339999999545E-2</v>
      </c>
      <c r="D26" s="1">
        <v>0.49307890269999999</v>
      </c>
      <c r="E26" t="str">
        <f>IF(AND(E22&lt;=E2,E22&gt;=F2),"CASE 2",IF(AND(F22&lt;=E2,F22&gt;=F2),"CASE 1",IF(AND(E22&gt;=E2,F22&lt;=F2),"CASE 3",IF(AND(E22&lt;=E2,F22&gt;=F2),"CASE 4",FALSE()))))</f>
        <v>CASE 3</v>
      </c>
      <c r="F26">
        <f>ABS(D22-D$2)</f>
        <v>0.14120221000000122</v>
      </c>
      <c r="G26" s="1">
        <v>9.5544485129999995E-2</v>
      </c>
      <c r="H26" t="str">
        <f>IF(AND(H22&lt;=H2,H22&gt;=I2),"CASE 2",IF(AND(I22&lt;=H2,I22&gt;=I2),"CASE 1",IF(AND(H22&gt;=H2,I22&lt;=I2),"CASE 3",IF(AND(H22&lt;=H2,I22&gt;=I2),"CASE 4",FALSE()))))</f>
        <v>CASE 3</v>
      </c>
      <c r="I26">
        <f>ABS(G22-G$2)</f>
        <v>9.8042500000001809E-3</v>
      </c>
      <c r="J26" s="1">
        <v>0.14852428749999999</v>
      </c>
      <c r="K26" t="str">
        <f>IF(AND(K22&lt;=K2,K22&gt;=L2),"CASE 2",IF(AND(L22&lt;=K2,L22&gt;=L2),"CASE 1",IF(AND(K22&gt;=K2,L22&lt;=L2),"CASE 3",IF(AND(K22&lt;=K2,L22&gt;=L2),"CASE 4",FALSE()))))</f>
        <v>CASE 3</v>
      </c>
      <c r="L26">
        <f>ABS(J22-J$2)</f>
        <v>1.3882600000005851E-3</v>
      </c>
      <c r="M26" s="1">
        <v>0.48393073819999999</v>
      </c>
      <c r="N26" t="str">
        <f>IF(AND(N22&lt;=N2,N22&gt;=O2),"CASE 2",IF(AND(O22&lt;=N2,O22&gt;=O2),"CASE 1",IF(AND(N22&gt;=N2,O22&lt;=O2),"CASE 3",IF(AND(N22&lt;=N2,O22&gt;=O2),"CASE 4",FALSE()))))</f>
        <v>CASE 3</v>
      </c>
      <c r="O26">
        <f>ABS(M22-M$2)</f>
        <v>0.25953280999999961</v>
      </c>
      <c r="P26" s="1">
        <v>0.16846709609999999</v>
      </c>
      <c r="Q26" t="str">
        <f>IF(AND(Q22&lt;=Q2,Q22&gt;=R2),"CASE 2",IF(AND(R22&lt;=Q2,R22&gt;=R2),"CASE 1",IF(AND(Q22&gt;=Q2,R22&lt;=R2),"CASE 3",IF(AND(Q22&lt;=Q2,R22&gt;=R2),"CASE 4",FALSE()))))</f>
        <v>CASE 3</v>
      </c>
      <c r="R26">
        <f>ABS(P22-P$2)</f>
        <v>0.13120033999999947</v>
      </c>
      <c r="S26" s="1">
        <v>9.5582999000000002E-2</v>
      </c>
      <c r="T26" t="str">
        <f>IF(AND(T22&lt;=T2,T22&gt;=U2),"CASE 2",IF(AND(U22&lt;=T2,U22&gt;=U2),"CASE 1",IF(AND(T22&gt;=T2,U22&lt;=U2),"CASE 3",IF(AND(T22&lt;=T2,U22&gt;=U2),"CASE 4",FALSE()))))</f>
        <v>CASE 3</v>
      </c>
      <c r="U26">
        <f>ABS(S22-S$2)</f>
        <v>2.4269100000001487E-2</v>
      </c>
      <c r="V26" s="1">
        <v>0.24670049350000001</v>
      </c>
      <c r="W26" t="b">
        <f>IF(AND(W22&lt;=W2,W22&gt;=X2),"CASE 2",IF(AND(X22&lt;=W2,X22&gt;=X2),"CASE 1",IF(AND(W22&gt;=W2,X22&lt;=X2),"CASE 3",IF(AND(W22&lt;=W2,X22&gt;=X2),"CASE 4",FALSE()))))</f>
        <v>0</v>
      </c>
      <c r="X26">
        <f>ABS(V22-V$2)</f>
        <v>0.59934139000000108</v>
      </c>
      <c r="Y26" s="1">
        <v>0.25932267320000002</v>
      </c>
      <c r="Z26" t="str">
        <f>IF(AND(Z22&lt;=Z2,Z22&gt;=AA2),"CASE 2",IF(AND(AA22&lt;=Z2,AA22&gt;=AA2),"CASE 1",IF(AND(Z22&gt;=Z2,AA22&lt;=AA2),"CASE 3",IF(AND(Z22&lt;=Z2,AA22&gt;=AA2),"CASE 4",FALSE()))))</f>
        <v>CASE 3</v>
      </c>
      <c r="AA26">
        <f>ABS(Y22-Y$2)</f>
        <v>5.7737800000001727E-3</v>
      </c>
      <c r="AB26" s="1">
        <v>0.39177649530000003</v>
      </c>
      <c r="AC26" t="str">
        <f>IF(AND(AC22&lt;=AC2,AC22&gt;=AD2),"CASE 2",IF(AND(AD22&lt;=AC2,AD22&gt;=AD2),"CASE 1",IF(AND(AC22&gt;=AC2,AD22&lt;=AD2),"CASE 3",IF(AND(AC22&lt;=AC2,AD22&gt;=AD2),"CASE 4",FALSE()))))</f>
        <v>CASE 3</v>
      </c>
      <c r="AD26">
        <f>ABS(AB22-AB$2)</f>
        <v>5.8576460000001163E-2</v>
      </c>
      <c r="AE26" s="1">
        <v>0.7977302033</v>
      </c>
      <c r="AF26" t="str">
        <f>IF(AND(AF22&lt;=AF2,AF22&gt;=AG2),"CASE 2",IF(AND(AG22&lt;=AF2,AG22&gt;=AG2),"CASE 1",IF(AND(AF22&gt;=AF2,AG22&lt;=AG2),"CASE 3",IF(AND(AF22&lt;=AF2,AG22&gt;=AG2),"CASE 4",FALSE()))))</f>
        <v>CASE 1</v>
      </c>
      <c r="AG26">
        <f>ABS(AE22-AE$2)</f>
        <v>0.84094346000000009</v>
      </c>
    </row>
    <row r="27" spans="1:34" hidden="1" x14ac:dyDescent="0.35">
      <c r="A27" s="1">
        <v>0.98899988309999998</v>
      </c>
      <c r="B27" t="str">
        <f t="shared" ref="B27:B29" si="11">IF(AND(B23&lt;=B3,B23&gt;=C3),"CASE 2",IF(AND(C23&lt;=B3,C23&gt;=C3),"CASE 1",IF(AND(B23&gt;=B3,C23&lt;=C3),"CASE 3",IF(AND(B23&lt;=B3,C23&gt;=C3),"CASE 4",FALSE()))))</f>
        <v>CASE 3</v>
      </c>
      <c r="C27">
        <f>ABS(A23-A$3)</f>
        <v>0.43584776000000014</v>
      </c>
      <c r="D27" s="1">
        <v>1.0666431080000001</v>
      </c>
      <c r="E27" t="str">
        <f t="shared" ref="E27:E29" si="12">IF(AND(E23&lt;=E3,E23&gt;=F3),"CASE 2",IF(AND(F23&lt;=E3,F23&gt;=F3),"CASE 1",IF(AND(E23&gt;=E3,F23&lt;=F3),"CASE 3",IF(AND(E23&lt;=E3,F23&gt;=F3),"CASE 4",FALSE()))))</f>
        <v>CASE 3</v>
      </c>
      <c r="F27">
        <f>ABS(D23-D$3)</f>
        <v>0.20513397499999986</v>
      </c>
      <c r="G27" s="1">
        <v>0.74906424680000006</v>
      </c>
      <c r="H27" t="str">
        <f t="shared" ref="H27:H29" si="13">IF(AND(H23&lt;=H3,H23&gt;=I3),"CASE 2",IF(AND(I23&lt;=H3,I23&gt;=I3),"CASE 1",IF(AND(H23&gt;=H3,I23&lt;=I3),"CASE 3",IF(AND(H23&lt;=H3,I23&gt;=I3),"CASE 4",FALSE()))))</f>
        <v>CASE 3</v>
      </c>
      <c r="I27">
        <f>ABS(G23-G$3)</f>
        <v>0.11803874100000034</v>
      </c>
      <c r="J27" s="1">
        <v>0.6262807843</v>
      </c>
      <c r="K27" t="str">
        <f t="shared" ref="K27:K29" si="14">IF(AND(K23&lt;=K3,K23&gt;=L3),"CASE 2",IF(AND(L23&lt;=K3,L23&gt;=L3),"CASE 1",IF(AND(K23&gt;=K3,L23&lt;=L3),"CASE 3",IF(AND(K23&lt;=K3,L23&gt;=L3),"CASE 4",FALSE()))))</f>
        <v>CASE 3</v>
      </c>
      <c r="L27">
        <f>ABS(J23-J$3)</f>
        <v>2.0491301999999934E-2</v>
      </c>
      <c r="M27" s="1">
        <v>2.046833522</v>
      </c>
      <c r="N27" t="str">
        <f t="shared" ref="N27:N29" si="15">IF(AND(N23&lt;=N3,N23&gt;=O3),"CASE 2",IF(AND(O23&lt;=N3,O23&gt;=O3),"CASE 1",IF(AND(N23&gt;=N3,O23&lt;=O3),"CASE 3",IF(AND(N23&lt;=N3,O23&gt;=O3),"CASE 4",FALSE()))))</f>
        <v>CASE 3</v>
      </c>
      <c r="O27">
        <f>ABS(M23-M$3)</f>
        <v>1.3285219520000005</v>
      </c>
      <c r="P27" s="1">
        <v>0.51907356459999998</v>
      </c>
      <c r="Q27" t="str">
        <f t="shared" ref="Q27:Q29" si="16">IF(AND(Q23&lt;=Q3,Q23&gt;=R3),"CASE 2",IF(AND(R23&lt;=Q3,R23&gt;=R3),"CASE 1",IF(AND(Q23&gt;=Q3,R23&lt;=R3),"CASE 3",IF(AND(Q23&lt;=Q3,R23&gt;=R3),"CASE 4",FALSE()))))</f>
        <v>CASE 3</v>
      </c>
      <c r="R27">
        <f>ABS(P23-P$3)</f>
        <v>3.2723000000345337E-5</v>
      </c>
      <c r="S27" s="1">
        <v>0.53181538029999997</v>
      </c>
      <c r="T27" t="str">
        <f t="shared" ref="T27:T29" si="17">IF(AND(T23&lt;=T3,T23&gt;=U3),"CASE 2",IF(AND(U23&lt;=T3,U23&gt;=U3),"CASE 1",IF(AND(T23&gt;=T3,U23&lt;=U3),"CASE 3",IF(AND(T23&lt;=T3,U23&gt;=U3),"CASE 4",FALSE()))))</f>
        <v>CASE 3</v>
      </c>
      <c r="U27">
        <f>ABS(S23-S$3)</f>
        <v>4.8054159000000318E-2</v>
      </c>
      <c r="V27" s="1">
        <v>1.4293574570000001</v>
      </c>
      <c r="W27" t="str">
        <f t="shared" ref="W27:W29" si="18">IF(AND(W23&lt;=W3,W23&gt;=X3),"CASE 2",IF(AND(X23&lt;=W3,X23&gt;=X3),"CASE 1",IF(AND(W23&gt;=W3,X23&lt;=X3),"CASE 3",IF(AND(W23&lt;=W3,X23&gt;=X3),"CASE 4",FALSE()))))</f>
        <v>CASE 3</v>
      </c>
      <c r="X27">
        <f>ABS(V23-V$3)</f>
        <v>0.20981851200000001</v>
      </c>
      <c r="Y27" s="1">
        <v>2.1481463660000002</v>
      </c>
      <c r="Z27" t="str">
        <f t="shared" ref="Z27:Z29" si="19">IF(AND(Z23&lt;=Z3,Z23&gt;=AA3),"CASE 2",IF(AND(AA23&lt;=Z3,AA23&gt;=AA3),"CASE 1",IF(AND(Z23&gt;=Z3,AA23&lt;=AA3),"CASE 3",IF(AND(Z23&lt;=Z3,AA23&gt;=AA3),"CASE 4",FALSE()))))</f>
        <v>CASE 3</v>
      </c>
      <c r="AA27">
        <f>ABS(Y23-Y$3)</f>
        <v>0.42060835699999988</v>
      </c>
      <c r="AB27" s="1">
        <v>1.5521823990000001</v>
      </c>
      <c r="AC27" t="str">
        <f t="shared" ref="AC27:AC29" si="20">IF(AND(AC23&lt;=AC3,AC23&gt;=AD3),"CASE 2",IF(AND(AD23&lt;=AC3,AD23&gt;=AD3),"CASE 1",IF(AND(AC23&gt;=AC3,AD23&lt;=AD3),"CASE 3",IF(AND(AC23&lt;=AC3,AD23&gt;=AD3),"CASE 4",FALSE()))))</f>
        <v>CASE 3</v>
      </c>
      <c r="AD27">
        <f>ABS(AB23-AB$3)</f>
        <v>0.85860389399999981</v>
      </c>
      <c r="AE27" s="1">
        <v>20.32916852</v>
      </c>
      <c r="AF27" t="str">
        <f t="shared" ref="AF27:AF29" si="21">IF(AND(AF23&lt;=AF3,AF23&gt;=AG3),"CASE 2",IF(AND(AG23&lt;=AF3,AG23&gt;=AG3),"CASE 1",IF(AND(AF23&gt;=AF3,AG23&lt;=AG3),"CASE 3",IF(AND(AF23&lt;=AF3,AG23&gt;=AG3),"CASE 4",FALSE()))))</f>
        <v>CASE 3</v>
      </c>
      <c r="AG27">
        <f>ABS(AE23-AE$3)</f>
        <v>14.742439032</v>
      </c>
    </row>
    <row r="28" spans="1:34" hidden="1" x14ac:dyDescent="0.35">
      <c r="A28" s="1">
        <v>0.37683327560000002</v>
      </c>
      <c r="B28" t="str">
        <f t="shared" si="11"/>
        <v>CASE 3</v>
      </c>
      <c r="C28">
        <f>ABS(A24-A$4)</f>
        <v>0.55104105900000011</v>
      </c>
      <c r="D28" s="1">
        <v>1.403448705</v>
      </c>
      <c r="E28" t="str">
        <f t="shared" si="12"/>
        <v>CASE 3</v>
      </c>
      <c r="F28">
        <f>ABS(D24-D$4)</f>
        <v>0.42078495400000016</v>
      </c>
      <c r="G28" s="1">
        <v>0.21827972940000001</v>
      </c>
      <c r="H28" t="str">
        <f t="shared" si="13"/>
        <v>CASE 3</v>
      </c>
      <c r="I28">
        <f>ABS(G24-G$4)</f>
        <v>6.4971695999999968E-2</v>
      </c>
      <c r="J28" s="1">
        <v>0.52044331219999995</v>
      </c>
      <c r="K28" t="str">
        <f t="shared" si="14"/>
        <v>CASE 3</v>
      </c>
      <c r="L28">
        <f>ABS(J24-J$4)</f>
        <v>4.8781050999999742E-2</v>
      </c>
      <c r="M28" s="1">
        <v>2.7699533719999998</v>
      </c>
      <c r="N28" t="str">
        <f t="shared" si="15"/>
        <v>CASE 3</v>
      </c>
      <c r="O28">
        <f>ABS(M24-M$4)</f>
        <v>1.2269499410000002</v>
      </c>
      <c r="P28" s="1">
        <v>0.75002270469999999</v>
      </c>
      <c r="Q28" t="str">
        <f t="shared" si="16"/>
        <v>CASE 1</v>
      </c>
      <c r="R28">
        <f>ABS(P24-P$4)</f>
        <v>0.55170026799999983</v>
      </c>
      <c r="S28" s="1">
        <v>0.33023368209999998</v>
      </c>
      <c r="T28" t="str">
        <f t="shared" si="17"/>
        <v>CASE 3</v>
      </c>
      <c r="U28">
        <f>ABS(S24-S$4)</f>
        <v>8.5204231999999935E-2</v>
      </c>
      <c r="V28" s="1">
        <v>0.1954653231</v>
      </c>
      <c r="W28" t="str">
        <f t="shared" si="18"/>
        <v>CASE 3</v>
      </c>
      <c r="X28">
        <f>ABS(V24-V$4)</f>
        <v>0.94482840940000001</v>
      </c>
      <c r="Y28" s="1">
        <v>0.95084593699999997</v>
      </c>
      <c r="Z28" t="str">
        <f t="shared" si="19"/>
        <v>CASE 3</v>
      </c>
      <c r="AA28">
        <f>ABS(Y24-Y$4)</f>
        <v>0.17938920799999991</v>
      </c>
      <c r="AB28" s="1">
        <v>2.4559535779999999</v>
      </c>
      <c r="AC28" t="str">
        <f t="shared" si="20"/>
        <v>CASE 3</v>
      </c>
      <c r="AD28">
        <f>ABS(AB24-AB$4)</f>
        <v>3.8624065000000041E-2</v>
      </c>
      <c r="AE28" s="1">
        <v>1.868526007</v>
      </c>
      <c r="AF28" t="str">
        <f t="shared" si="21"/>
        <v>CASE 3</v>
      </c>
      <c r="AG28">
        <f>ABS(AE24-AE$4)</f>
        <v>0.78177101100000002</v>
      </c>
    </row>
    <row r="29" spans="1:34" hidden="1" x14ac:dyDescent="0.35">
      <c r="A29" s="1">
        <v>0.2401386804</v>
      </c>
      <c r="B29" t="str">
        <f t="shared" si="11"/>
        <v>CASE 3</v>
      </c>
      <c r="C29">
        <f>ABS(A25-A$5)</f>
        <v>3.3030509999998348E-3</v>
      </c>
      <c r="D29" s="1">
        <v>0.4705522969</v>
      </c>
      <c r="E29" t="str">
        <f t="shared" si="12"/>
        <v>CASE 3</v>
      </c>
      <c r="F29">
        <f>ABS(D25-D$5)</f>
        <v>4.3956995000000054E-2</v>
      </c>
      <c r="G29" s="1">
        <v>0.4409629853</v>
      </c>
      <c r="H29" t="str">
        <f t="shared" si="13"/>
        <v>CASE 3</v>
      </c>
      <c r="I29">
        <f>ABS(G25-G$5)</f>
        <v>1.2021184000000185E-2</v>
      </c>
      <c r="J29" s="1">
        <v>0.23778135410000001</v>
      </c>
      <c r="K29" t="str">
        <f t="shared" si="14"/>
        <v>CASE 3</v>
      </c>
      <c r="L29">
        <f>ABS(J25-J$5)</f>
        <v>4.4760699999999431E-3</v>
      </c>
      <c r="M29" s="1">
        <v>0.78472036619999996</v>
      </c>
      <c r="N29" t="str">
        <f t="shared" si="15"/>
        <v>CASE 3</v>
      </c>
      <c r="O29">
        <f>ABS(M25-M$5)</f>
        <v>0.28270804900000002</v>
      </c>
      <c r="P29" s="1">
        <v>0.26819886599999998</v>
      </c>
      <c r="Q29" t="str">
        <f t="shared" si="16"/>
        <v>CASE 3</v>
      </c>
      <c r="R29">
        <f>ABS(P25-P$5)</f>
        <v>3.4709125999999646E-2</v>
      </c>
      <c r="S29" s="1">
        <v>0.24580974950000001</v>
      </c>
      <c r="T29" t="str">
        <f t="shared" si="17"/>
        <v>CASE 3</v>
      </c>
      <c r="U29">
        <f>ABS(S25-S$5)</f>
        <v>6.5609330000000465E-3</v>
      </c>
      <c r="V29" s="1">
        <v>0.80806043459999999</v>
      </c>
      <c r="W29" t="str">
        <f t="shared" si="18"/>
        <v>CASE 3</v>
      </c>
      <c r="X29">
        <f>ABS(V25-V$5)</f>
        <v>0.28857374200000008</v>
      </c>
      <c r="Y29" s="1">
        <v>0.78540122540000001</v>
      </c>
      <c r="Z29" t="str">
        <f t="shared" si="19"/>
        <v>CASE 3</v>
      </c>
      <c r="AA29">
        <f>ABS(Y25-Y$5)</f>
        <v>0.11904773099999999</v>
      </c>
      <c r="AB29" s="1">
        <v>0.81060850480000002</v>
      </c>
      <c r="AC29" t="str">
        <f t="shared" si="20"/>
        <v>CASE 3</v>
      </c>
      <c r="AD29">
        <f>ABS(AB25-AB$5)</f>
        <v>3.2442220000001853E-3</v>
      </c>
      <c r="AE29" s="1">
        <v>9.8682505939999992</v>
      </c>
      <c r="AF29" t="str">
        <f t="shared" si="21"/>
        <v>CASE 3</v>
      </c>
      <c r="AG29">
        <f>ABS(AE25-AE$5)</f>
        <v>1.6958103179999999</v>
      </c>
      <c r="AH29" t="s">
        <v>17</v>
      </c>
    </row>
    <row r="30" spans="1:34" x14ac:dyDescent="0.35">
      <c r="A30" s="1" t="s">
        <v>3</v>
      </c>
    </row>
    <row r="31" spans="1:34" x14ac:dyDescent="0.35">
      <c r="A31" s="1">
        <v>16.396186350000001</v>
      </c>
      <c r="B31">
        <f>A31+A35</f>
        <v>16.41726787188</v>
      </c>
      <c r="C31">
        <f>A31-A35</f>
        <v>16.375104828120001</v>
      </c>
      <c r="D31" s="1">
        <v>15.46635783</v>
      </c>
      <c r="E31">
        <f>D31+D35</f>
        <v>15.662252023699999</v>
      </c>
      <c r="F31">
        <f>D31-D35</f>
        <v>15.270463636300001</v>
      </c>
      <c r="G31" s="1">
        <v>15.90564144</v>
      </c>
      <c r="H31">
        <f>G31+G35</f>
        <v>15.943012930170001</v>
      </c>
      <c r="I31">
        <f>G31-G35</f>
        <v>15.868269949829999</v>
      </c>
      <c r="J31" s="1">
        <v>15.910065830000001</v>
      </c>
      <c r="K31">
        <f>J31+J35</f>
        <v>15.96640264234</v>
      </c>
      <c r="L31">
        <f>J31-J35</f>
        <v>15.853729017660001</v>
      </c>
      <c r="M31" s="1">
        <v>15.81004429</v>
      </c>
      <c r="N31">
        <f>M31+M35</f>
        <v>15.9973187124</v>
      </c>
      <c r="O31">
        <f>M31-M35</f>
        <v>15.622769867600001</v>
      </c>
      <c r="P31" s="1">
        <v>15.73239467</v>
      </c>
      <c r="Q31">
        <f>P31+P35</f>
        <v>15.79543377069</v>
      </c>
      <c r="R31">
        <f>P31-P35</f>
        <v>15.66935556931</v>
      </c>
      <c r="S31" s="1">
        <v>16.09637094</v>
      </c>
      <c r="T31">
        <f>S31+S35</f>
        <v>16.136164096070001</v>
      </c>
      <c r="U31">
        <f>S31-S35</f>
        <v>16.056577783929999</v>
      </c>
      <c r="V31" s="1">
        <v>15.4886055</v>
      </c>
      <c r="W31">
        <f>V31+V35</f>
        <v>15.581267276550001</v>
      </c>
      <c r="X31">
        <f>V31-V35</f>
        <v>15.395943723449999</v>
      </c>
      <c r="Y31" s="1">
        <v>14.82047118</v>
      </c>
      <c r="Z31">
        <f>Y31+Y35</f>
        <v>14.9195654681</v>
      </c>
      <c r="AA31">
        <f>Y31-Y35</f>
        <v>14.7213768919</v>
      </c>
      <c r="AB31" s="1">
        <v>15.01187444</v>
      </c>
      <c r="AC31">
        <f>AB31+AB35</f>
        <v>15.1641525253</v>
      </c>
      <c r="AD31">
        <f>AB31-AB35</f>
        <v>14.859596354699999</v>
      </c>
      <c r="AE31" s="1">
        <v>16.107152459999998</v>
      </c>
      <c r="AF31">
        <f>AE31+AE35</f>
        <v>16.398342526299999</v>
      </c>
      <c r="AG31">
        <f>AE31-AE35</f>
        <v>15.815962393699998</v>
      </c>
    </row>
    <row r="32" spans="1:34" x14ac:dyDescent="0.35">
      <c r="A32" s="1">
        <v>3.8582258079999998</v>
      </c>
      <c r="B32">
        <f>A32+A36</f>
        <v>4.0193839535000002</v>
      </c>
      <c r="C32">
        <f>A32-A36</f>
        <v>3.6970676624999999</v>
      </c>
      <c r="D32" s="1">
        <v>3.5903244609999998</v>
      </c>
      <c r="E32">
        <f>D32+D36</f>
        <v>3.9938416123999998</v>
      </c>
      <c r="F32">
        <f>D32-D36</f>
        <v>3.1868073095999998</v>
      </c>
      <c r="G32" s="1">
        <v>4.2917740640000002</v>
      </c>
      <c r="H32">
        <f>G32+G36</f>
        <v>4.5870752348000003</v>
      </c>
      <c r="I32">
        <f>G32-G36</f>
        <v>3.9964728932</v>
      </c>
      <c r="J32" s="1">
        <v>4.2483703200000003</v>
      </c>
      <c r="K32">
        <f>J32+J36</f>
        <v>4.4730351750000006</v>
      </c>
      <c r="L32">
        <f>J32-J36</f>
        <v>4.0237054649999999</v>
      </c>
      <c r="M32" s="1">
        <v>4.3467073440000004</v>
      </c>
      <c r="N32">
        <f>M32+M36</f>
        <v>5.1364835645000007</v>
      </c>
      <c r="O32">
        <f>M32-M36</f>
        <v>3.5569311235000005</v>
      </c>
      <c r="P32" s="1">
        <v>4.6338319779999999</v>
      </c>
      <c r="Q32">
        <f>P32+P36</f>
        <v>4.8423241067999996</v>
      </c>
      <c r="R32">
        <f>P32-P36</f>
        <v>4.4253398492000002</v>
      </c>
      <c r="S32" s="1">
        <v>3.9853460190000001</v>
      </c>
      <c r="T32">
        <f>S32+S36</f>
        <v>4.2029910423999999</v>
      </c>
      <c r="U32">
        <f>S32-S36</f>
        <v>3.7677009956000003</v>
      </c>
      <c r="V32" s="1">
        <v>4.5680142640000003</v>
      </c>
      <c r="W32">
        <f>V32+V36</f>
        <v>5.3326735565000005</v>
      </c>
      <c r="X32">
        <f>V32-V36</f>
        <v>3.8033549715000001</v>
      </c>
      <c r="Y32" s="1">
        <v>4.6418944599999996</v>
      </c>
      <c r="Z32">
        <f>Y32+Y36</f>
        <v>5.5159915125999994</v>
      </c>
      <c r="AA32">
        <f>Y32-Y36</f>
        <v>3.7677974073999998</v>
      </c>
      <c r="AB32" s="1">
        <v>5.3052151199999997</v>
      </c>
      <c r="AC32">
        <f>AB32+AB36</f>
        <v>5.9073138792000002</v>
      </c>
      <c r="AD32">
        <f>AB32-AB36</f>
        <v>4.7031163607999993</v>
      </c>
      <c r="AE32" s="1">
        <v>20</v>
      </c>
      <c r="AF32">
        <f>AE32+AE36</f>
        <v>22.359560977000001</v>
      </c>
      <c r="AG32">
        <f>AE32-AE36</f>
        <v>17.640439022999999</v>
      </c>
    </row>
    <row r="33" spans="1:34" x14ac:dyDescent="0.35">
      <c r="A33" s="1">
        <v>2.6941472649999998</v>
      </c>
      <c r="B33">
        <f>A33+A37</f>
        <v>2.7842662008199999</v>
      </c>
      <c r="C33">
        <f>A33-A37</f>
        <v>2.6040283291799997</v>
      </c>
      <c r="D33" s="1">
        <v>2.1842413660000002</v>
      </c>
      <c r="E33">
        <f>D33+D37</f>
        <v>2.7488860507000004</v>
      </c>
      <c r="F33">
        <f>D33-D37</f>
        <v>1.6195966813000002</v>
      </c>
      <c r="G33" s="1">
        <v>1.1752987429999999</v>
      </c>
      <c r="H33">
        <f>G33+G37</f>
        <v>1.26037501848</v>
      </c>
      <c r="I33">
        <f>G33-G37</f>
        <v>1.0902224675199998</v>
      </c>
      <c r="J33" s="1">
        <v>2.2649652360000001</v>
      </c>
      <c r="K33">
        <f>J33+J37</f>
        <v>2.4745852130000001</v>
      </c>
      <c r="L33">
        <f>J33-J37</f>
        <v>2.0553452590000001</v>
      </c>
      <c r="M33" s="1">
        <v>3.2064326520000002</v>
      </c>
      <c r="N33">
        <f>M33+M37</f>
        <v>4.2775345329999999</v>
      </c>
      <c r="O33">
        <f>M33-M37</f>
        <v>2.1353307710000005</v>
      </c>
      <c r="P33" s="1">
        <v>2.9531110229999999</v>
      </c>
      <c r="Q33">
        <f>P33+P37</f>
        <v>3.2242056199999998</v>
      </c>
      <c r="R33">
        <f>P33-P37</f>
        <v>2.6820164260000001</v>
      </c>
      <c r="S33" s="1">
        <v>2.0361217859999998</v>
      </c>
      <c r="T33">
        <f>S33+S37</f>
        <v>2.1841428001999996</v>
      </c>
      <c r="U33">
        <f>S33-S37</f>
        <v>1.8881007717999998</v>
      </c>
      <c r="V33" s="1">
        <v>1.6815049500000001</v>
      </c>
      <c r="W33">
        <f>V33+V37</f>
        <v>1.9343544972000002</v>
      </c>
      <c r="X33">
        <f>V33-V37</f>
        <v>1.4286554028</v>
      </c>
      <c r="Y33" s="1">
        <v>1.8449637759999999</v>
      </c>
      <c r="Z33">
        <f>Y33+Y37</f>
        <v>2.2387064620000001</v>
      </c>
      <c r="AA33">
        <f>Y33-Y37</f>
        <v>1.45122109</v>
      </c>
      <c r="AB33" s="1">
        <v>3.2424260970000001</v>
      </c>
      <c r="AC33">
        <f>AB33+AB37</f>
        <v>4.193815334</v>
      </c>
      <c r="AD33">
        <f>AB33-AB37</f>
        <v>2.2910368600000002</v>
      </c>
      <c r="AE33" s="1">
        <v>2.7587534339999999</v>
      </c>
      <c r="AF33">
        <f>AE33+AE37</f>
        <v>3.4720131994000001</v>
      </c>
      <c r="AG33">
        <f>AE33-AE37</f>
        <v>2.0454936685999998</v>
      </c>
    </row>
    <row r="34" spans="1:34" x14ac:dyDescent="0.35">
      <c r="A34" s="1">
        <v>1.945098132</v>
      </c>
      <c r="B34">
        <f>A34+A38</f>
        <v>2.0055133597800001</v>
      </c>
      <c r="C34">
        <f>A34-A38</f>
        <v>1.88468290422</v>
      </c>
      <c r="D34" s="1">
        <v>1.820799828</v>
      </c>
      <c r="E34">
        <f>D34+D38</f>
        <v>1.9991299259999999</v>
      </c>
      <c r="F34">
        <f>D34-D38</f>
        <v>1.64246973</v>
      </c>
      <c r="G34" s="1">
        <v>1.9666092690000001</v>
      </c>
      <c r="H34">
        <f>G34+G38</f>
        <v>2.1375295698999999</v>
      </c>
      <c r="I34">
        <f>G34-G38</f>
        <v>1.7956889681000001</v>
      </c>
      <c r="J34" s="1">
        <v>1.9065103379999999</v>
      </c>
      <c r="K34">
        <f>J34+J38</f>
        <v>1.9980849198099999</v>
      </c>
      <c r="L34">
        <f>J34-J38</f>
        <v>1.8149357561899999</v>
      </c>
      <c r="M34" s="1">
        <v>2.2835018630000001</v>
      </c>
      <c r="N34">
        <f>M34+M38</f>
        <v>2.5875297434000002</v>
      </c>
      <c r="O34">
        <f>M34-M38</f>
        <v>1.9794739826000001</v>
      </c>
      <c r="P34" s="1">
        <v>2.097764969</v>
      </c>
      <c r="Q34">
        <f>P34+P38</f>
        <v>2.2019838528999998</v>
      </c>
      <c r="R34">
        <f>P34-P38</f>
        <v>1.9935460851</v>
      </c>
      <c r="S34" s="1">
        <v>1.6573758089999999</v>
      </c>
      <c r="T34">
        <f>S34+S38</f>
        <v>1.75496805228</v>
      </c>
      <c r="U34">
        <f>S34-S38</f>
        <v>1.5597835657199999</v>
      </c>
      <c r="V34" s="1">
        <v>1.99659586</v>
      </c>
      <c r="W34">
        <f>V34+V38</f>
        <v>2.3226727616999998</v>
      </c>
      <c r="X34">
        <f>V34-V38</f>
        <v>1.6705189583</v>
      </c>
      <c r="Y34" s="1">
        <v>1.908144955</v>
      </c>
      <c r="Z34">
        <f>Y34+Y38</f>
        <v>2.2180561571999999</v>
      </c>
      <c r="AA34">
        <f>Y34-Y38</f>
        <v>1.5982337528000001</v>
      </c>
      <c r="AB34" s="1">
        <v>1.7164365049999999</v>
      </c>
      <c r="AC34">
        <f>AB34+AB38</f>
        <v>2.0300399058999998</v>
      </c>
      <c r="AD34">
        <f>AB34-AB38</f>
        <v>1.4028331041</v>
      </c>
      <c r="AE34" s="1">
        <v>2.3514337539999999</v>
      </c>
      <c r="AF34">
        <f>AE34+AE38</f>
        <v>3.9032935899999996</v>
      </c>
      <c r="AG34">
        <f>AE34-AE38</f>
        <v>0.79957391799999988</v>
      </c>
    </row>
    <row r="35" spans="1:34" x14ac:dyDescent="0.35">
      <c r="A35" s="1">
        <v>2.1081521879999999E-2</v>
      </c>
      <c r="B35" t="str">
        <f>IF(AND(B31&lt;=B2,B31&gt;=C2),"CASE 2",IF(AND(C31&lt;=B2,C31&gt;=C2),"CASE 1",IF(AND(B31&gt;=B2,C31&lt;=C2),"CASE 3",IF(AND(B31&lt;=B2,C31&gt;=C2),"CASE 4",FALSE()))))</f>
        <v>CASE 2</v>
      </c>
      <c r="C35">
        <f>ABS(A31-A$2)</f>
        <v>2.1728039999999282E-2</v>
      </c>
      <c r="D35" s="1">
        <v>0.1958941937</v>
      </c>
      <c r="E35" t="str">
        <f>IF(AND(E31&lt;=E2,E31&gt;=F2),"CASE 2",IF(AND(F31&lt;=E2,F31&gt;=F2),"CASE 1",IF(AND(E31&gt;=E2,F31&lt;=F2),"CASE 3",IF(AND(E31&lt;=E2,F31&gt;=F2),"CASE 4",FALSE()))))</f>
        <v>CASE 2</v>
      </c>
      <c r="F35">
        <f>ABS(D31-D$2)</f>
        <v>0.13180935000000105</v>
      </c>
      <c r="G35" s="1">
        <v>3.737149017E-2</v>
      </c>
      <c r="H35" t="str">
        <f>IF(AND(H31&lt;=H2,H31&gt;=I2),"CASE 2",IF(AND(I31&lt;=H2,I31&gt;=I2),"CASE 1",IF(AND(H31&gt;=H2,I31&lt;=I2),"CASE 3",IF(AND(H31&lt;=H2,I31&gt;=I2),"CASE 4",FALSE()))))</f>
        <v>CASE 3</v>
      </c>
      <c r="I35">
        <f>ABS(G31-G$2)</f>
        <v>5.9648800000005053E-3</v>
      </c>
      <c r="J35" s="1">
        <v>5.633681234E-2</v>
      </c>
      <c r="K35" t="str">
        <f>IF(AND(K31&lt;=K2,K31&gt;=L2),"CASE 2",IF(AND(L31&lt;=K2,L31&gt;=L2),"CASE 1",IF(AND(K31&gt;=K2,L31&lt;=L2),"CASE 3",IF(AND(K31&lt;=K2,L31&gt;=L2),"CASE 4",FALSE()))))</f>
        <v>CASE 1</v>
      </c>
      <c r="L35">
        <f>ABS(J31-J$2)</f>
        <v>3.9661770000000374E-2</v>
      </c>
      <c r="M35" s="1">
        <v>0.1872744224</v>
      </c>
      <c r="N35" t="b">
        <f>IF(AND(N31&lt;=N2,N31&gt;=O2),"CASE 2",IF(AND(O31&lt;=N2,O31&gt;=O2),"CASE 1",IF(AND(N31&gt;=N2,O31&lt;=O2),"CASE 3",IF(AND(N31&lt;=N2,O31&gt;=O2),"CASE 4",FALSE()))))</f>
        <v>0</v>
      </c>
      <c r="O35">
        <f>ABS(M31-M$2)</f>
        <v>0.25767100000000021</v>
      </c>
      <c r="P35" s="1">
        <v>6.3039100690000002E-2</v>
      </c>
      <c r="Q35" t="b">
        <f>IF(AND(Q31&lt;=Q2,Q31&gt;=R2),"CASE 2",IF(AND(R31&lt;=Q2,R31&gt;=R2),"CASE 1",IF(AND(Q31&gt;=Q2,R31&lt;=R2),"CASE 3",IF(AND(Q31&lt;=Q2,R31&gt;=R2),"CASE 4",FALSE()))))</f>
        <v>0</v>
      </c>
      <c r="R35">
        <f>ABS(P31-P$2)</f>
        <v>0.13928693999999986</v>
      </c>
      <c r="S35" s="1">
        <v>3.9793156070000002E-2</v>
      </c>
      <c r="T35" t="str">
        <f>IF(AND(T31&lt;=T2,T31&gt;=U2),"CASE 2",IF(AND(U31&lt;=T2,U31&gt;=U2),"CASE 1",IF(AND(T31&gt;=T2,U31&lt;=U2),"CASE 3",IF(AND(T31&lt;=T2,U31&gt;=U2),"CASE 4",FALSE()))))</f>
        <v>CASE 3</v>
      </c>
      <c r="U35">
        <f>ABS(S31-S$2)</f>
        <v>1.2860410000001821E-2</v>
      </c>
      <c r="V35" s="1">
        <v>9.2661776550000005E-2</v>
      </c>
      <c r="W35" t="str">
        <f>IF(AND(W31&lt;=W2,W31&gt;=X2),"CASE 2",IF(AND(X31&lt;=W2,X31&gt;=X2),"CASE 1",IF(AND(W31&gt;=W2,X31&lt;=X2),"CASE 3",IF(AND(W31&lt;=W2,X31&gt;=X2),"CASE 4",FALSE()))))</f>
        <v>CASE 1</v>
      </c>
      <c r="X35">
        <f>ABS(V31-V$2)</f>
        <v>6.5313339999999442E-2</v>
      </c>
      <c r="Y35" s="1">
        <v>9.9094288099999997E-2</v>
      </c>
      <c r="Z35" t="str">
        <f>IF(AND(Z31&lt;=Z2,Z31&gt;=AA2),"CASE 2",IF(AND(AA31&lt;=Z2,AA31&gt;=AA2),"CASE 1",IF(AND(Z31&gt;=Z2,AA31&lt;=AA2),"CASE 3",IF(AND(Z31&lt;=Z2,AA31&gt;=AA2),"CASE 4",FALSE()))))</f>
        <v>CASE 3</v>
      </c>
      <c r="AA35">
        <f>ABS(Y31-Y$2)</f>
        <v>3.1362670000000037E-2</v>
      </c>
      <c r="AB35" s="1">
        <v>0.1522780853</v>
      </c>
      <c r="AC35" t="str">
        <f>IF(AND(AC31&lt;=AC2,AC31&gt;=AD2),"CASE 2",IF(AND(AD31&lt;=AC2,AD31&gt;=AD2),"CASE 1",IF(AND(AC31&gt;=AC2,AD31&lt;=AD2),"CASE 3",IF(AND(AC31&lt;=AC2,AD31&gt;=AD2),"CASE 4",FALSE()))))</f>
        <v>CASE 1</v>
      </c>
      <c r="AD35">
        <f>ABS(AB31-AB$2)</f>
        <v>5.6386350000000363E-2</v>
      </c>
      <c r="AE35" s="1">
        <v>0.29119006629999999</v>
      </c>
      <c r="AF35" t="b">
        <f>IF(AND(AF31&lt;=AF2,AF31&gt;=AG2),"CASE 2",IF(AND(AG31&lt;=AF2,AG31&gt;=AG2),"CASE 1",IF(AND(AF31&gt;=AF2,AG31&lt;=AG2),"CASE 3",IF(AND(AF31&lt;=AF2,AG31&gt;=AG2),"CASE 4",FALSE()))))</f>
        <v>0</v>
      </c>
      <c r="AG35">
        <f>ABS(AE31-AE$2)</f>
        <v>0.95350801999999746</v>
      </c>
    </row>
    <row r="36" spans="1:34" x14ac:dyDescent="0.35">
      <c r="A36" s="1">
        <v>0.16115814549999999</v>
      </c>
      <c r="B36" t="str">
        <f>IF(AND(B32&lt;=B3,B32&gt;=C3),"CASE 2",IF(AND(C32&lt;=B3,C32&gt;=C3),"CASE 1",IF(AND(B32&gt;=B3,C32&lt;=C3),"CASE 3",IF(AND(B32&lt;=B3,C32&gt;=C3),"CASE 4",FALSE()))))</f>
        <v>CASE 2</v>
      </c>
      <c r="C36">
        <f>ABS(A32-A$3)</f>
        <v>8.1731095000000309E-2</v>
      </c>
      <c r="D36" s="1">
        <v>0.4035171514</v>
      </c>
      <c r="E36" t="str">
        <f>IF(AND(E32&lt;=E3,E32&gt;=F3),"CASE 2",IF(AND(F32&lt;=E3,F32&gt;=F3),"CASE 1",IF(AND(E32&gt;=E3,F32&lt;=F3),"CASE 3",IF(AND(E32&lt;=E3,F32&gt;=F3),"CASE 4",FALSE()))))</f>
        <v>CASE 3</v>
      </c>
      <c r="F36">
        <f>ABS(D32-D$3)</f>
        <v>0.13109290599999968</v>
      </c>
      <c r="G36" s="1">
        <v>0.29530117080000001</v>
      </c>
      <c r="H36" t="str">
        <f>IF(AND(H32&lt;=H3,H32&gt;=I3),"CASE 2",IF(AND(I32&lt;=H3,I32&gt;=I3),"CASE 1",IF(AND(H32&gt;=H3,I32&lt;=I3),"CASE 3",IF(AND(H32&lt;=H3,I32&gt;=I3),"CASE 4",FALSE()))))</f>
        <v>CASE 3</v>
      </c>
      <c r="I36">
        <f>ABS(G32-G$3)</f>
        <v>9.4999698000000521E-2</v>
      </c>
      <c r="J36" s="1">
        <v>0.224664855</v>
      </c>
      <c r="K36" t="str">
        <f>IF(AND(K32&lt;=K3,K32&gt;=L3),"CASE 2",IF(AND(L32&lt;=K3,L32&gt;=L3),"CASE 1",IF(AND(K32&gt;=K3,L32&lt;=L3),"CASE 3",IF(AND(K32&lt;=K3,L32&gt;=L3),"CASE 4",FALSE()))))</f>
        <v>CASE 3</v>
      </c>
      <c r="L36">
        <f>ABS(J32-J$3)</f>
        <v>2.8729827000000263E-2</v>
      </c>
      <c r="M36" s="1">
        <v>0.78977622049999996</v>
      </c>
      <c r="N36" t="b">
        <f>IF(AND(N32&lt;=N3,N32&gt;=O3),"CASE 2",IF(AND(O32&lt;=N3,O32&gt;=O3),"CASE 1",IF(AND(N32&gt;=N3,O32&lt;=O3),"CASE 3",IF(AND(N32&lt;=N3,O32&gt;=O3),"CASE 4",FALSE()))))</f>
        <v>0</v>
      </c>
      <c r="O36">
        <f>ABS(M32-M$3)</f>
        <v>1.3234624710000005</v>
      </c>
      <c r="P36" s="1">
        <v>0.20849212880000001</v>
      </c>
      <c r="Q36" t="str">
        <f>IF(AND(Q32&lt;=Q3,Q32&gt;=R3),"CASE 2",IF(AND(R32&lt;=Q3,R32&gt;=R3),"CASE 1",IF(AND(Q32&gt;=Q3,R32&lt;=R3),"CASE 3",IF(AND(Q32&lt;=Q3,R32&gt;=R3),"CASE 4",FALSE()))))</f>
        <v>CASE 1</v>
      </c>
      <c r="R36">
        <f>ABS(P32-P$3)</f>
        <v>0.26357722299999953</v>
      </c>
      <c r="S36" s="1">
        <v>0.2176450234</v>
      </c>
      <c r="T36" t="str">
        <f>IF(AND(T32&lt;=T3,T32&gt;=U3),"CASE 2",IF(AND(U32&lt;=T3,U32&gt;=U3),"CASE 1",IF(AND(T32&gt;=T3,U32&lt;=U3),"CASE 3",IF(AND(T32&lt;=T3,U32&gt;=U3),"CASE 4",FALSE()))))</f>
        <v>CASE 3</v>
      </c>
      <c r="U36">
        <f>ABS(S32-S$3)</f>
        <v>6.0070872000000275E-2</v>
      </c>
      <c r="V36" s="1">
        <v>0.76465929249999998</v>
      </c>
      <c r="W36" t="str">
        <f>IF(AND(W32&lt;=W3,W32&gt;=X3),"CASE 2",IF(AND(X32&lt;=W3,X32&gt;=X3),"CASE 1",IF(AND(W32&gt;=W3,X32&lt;=X3),"CASE 3",IF(AND(W32&lt;=W3,X32&gt;=X3),"CASE 4",FALSE()))))</f>
        <v>CASE 3</v>
      </c>
      <c r="X36">
        <f>ABS(V32-V$3)</f>
        <v>0.19009366600000011</v>
      </c>
      <c r="Y36" s="1">
        <v>0.87409705260000004</v>
      </c>
      <c r="Z36" t="str">
        <f>IF(AND(Z32&lt;=Z3,Z32&gt;=AA3),"CASE 2",IF(AND(AA32&lt;=Z3,AA32&gt;=AA3),"CASE 1",IF(AND(Z32&gt;=Z3,AA32&lt;=AA3),"CASE 3",IF(AND(Z32&lt;=Z3,AA32&gt;=AA3),"CASE 4",FALSE()))))</f>
        <v>CASE 1</v>
      </c>
      <c r="AA36">
        <f>ABS(Y32-Y$3)</f>
        <v>0.60038013799999934</v>
      </c>
      <c r="AB36" s="1">
        <v>0.6020987592</v>
      </c>
      <c r="AC36" t="str">
        <f>IF(AND(AC32&lt;=AC3,AC32&gt;=AD3),"CASE 2",IF(AND(AD32&lt;=AC3,AD32&gt;=AD3),"CASE 1",IF(AND(AC32&gt;=AC3,AD32&lt;=AD3),"CASE 3",IF(AND(AC32&lt;=AC3,AD32&gt;=AD3),"CASE 4",FALSE()))))</f>
        <v>CASE 1</v>
      </c>
      <c r="AD36">
        <f>ABS(AB32-AB$3)</f>
        <v>0.84696763699999966</v>
      </c>
      <c r="AE36" s="1">
        <v>2.3595609770000001</v>
      </c>
      <c r="AF36" t="b">
        <f>IF(AND(AF32&lt;=AF3,AF32&gt;=AG3),"CASE 2",IF(AND(AG32&lt;=AF3,AG32&gt;=AG3),"CASE 1",IF(AND(AF32&gt;=AF3,AG32&lt;=AG3),"CASE 3",IF(AND(AF32&lt;=AF3,AG32&gt;=AG3),"CASE 4",FALSE()))))</f>
        <v>0</v>
      </c>
      <c r="AG36">
        <f>ABS(AE32-AE$3)</f>
        <v>14.742439032</v>
      </c>
    </row>
    <row r="37" spans="1:34" x14ac:dyDescent="0.35">
      <c r="A37" s="1">
        <v>9.0118935819999996E-2</v>
      </c>
      <c r="B37" t="str">
        <f>IF(AND(B33&lt;=B4,B33&gt;=C4),"CASE 2",IF(AND(C33&lt;=B4,C33&gt;=C4),"CASE 1",IF(AND(B33&gt;=B4,C33&lt;=C4),"CASE 3",IF(AND(B33&lt;=B4,C33&gt;=C4),"CASE 4",FALSE()))))</f>
        <v>CASE 3</v>
      </c>
      <c r="C37">
        <f>ABS(A33-A$4)</f>
        <v>1.2098869999999984E-2</v>
      </c>
      <c r="D37" s="1">
        <v>0.56464468469999995</v>
      </c>
      <c r="E37" t="str">
        <f>IF(AND(E33&lt;=E4,E33&gt;=F4),"CASE 2",IF(AND(F33&lt;=E4,F33&gt;=F4),"CASE 1",IF(AND(E33&gt;=E4,F33&lt;=F4),"CASE 3",IF(AND(E33&lt;=E4,F33&gt;=F4),"CASE 4",FALSE()))))</f>
        <v>CASE 2</v>
      </c>
      <c r="F37">
        <f>ABS(D33-D$4)</f>
        <v>0.38857779599999986</v>
      </c>
      <c r="G37" s="1">
        <v>8.5076275480000005E-2</v>
      </c>
      <c r="H37" t="str">
        <f>IF(AND(H33&lt;=H4,H33&gt;=I4),"CASE 2",IF(AND(I33&lt;=H4,I33&gt;=I4),"CASE 1",IF(AND(H33&gt;=H4,I33&lt;=I4),"CASE 3",IF(AND(H33&lt;=H4,I33&gt;=I4),"CASE 4",FALSE()))))</f>
        <v>CASE 1</v>
      </c>
      <c r="I37">
        <f>ABS(G33-G$4)</f>
        <v>6.4082007999999968E-2</v>
      </c>
      <c r="J37" s="1">
        <v>0.20961997700000001</v>
      </c>
      <c r="K37" t="str">
        <f>IF(AND(K33&lt;=K4,K33&gt;=L4),"CASE 2",IF(AND(L33&lt;=K4,L33&gt;=L4),"CASE 1",IF(AND(K33&gt;=K4,L33&lt;=L4),"CASE 3",IF(AND(K33&lt;=K4,L33&gt;=L4),"CASE 4",FALSE()))))</f>
        <v>CASE 1</v>
      </c>
      <c r="L37">
        <f>ABS(J33-J$4)</f>
        <v>0.18269751799999989</v>
      </c>
      <c r="M37" s="1">
        <v>1.0711018809999999</v>
      </c>
      <c r="N37" t="str">
        <f>IF(AND(N33&lt;=N4,N33&gt;=O4),"CASE 2",IF(AND(O33&lt;=N4,O33&gt;=O4),"CASE 1",IF(AND(N33&gt;=N4,O33&lt;=O4),"CASE 3",IF(AND(N33&lt;=N4,O33&gt;=O4),"CASE 4",FALSE()))))</f>
        <v>CASE 1</v>
      </c>
      <c r="O37">
        <f>ABS(M33-M$4)</f>
        <v>1.2195940990000003</v>
      </c>
      <c r="P37" s="1">
        <v>0.27109459699999999</v>
      </c>
      <c r="Q37" t="b">
        <f>IF(AND(Q33&lt;=Q4,Q33&gt;=R4),"CASE 2",IF(AND(R33&lt;=Q4,R33&gt;=R4),"CASE 1",IF(AND(Q33&gt;=Q4,R33&lt;=R4),"CASE 3",IF(AND(Q33&lt;=Q4,R33&gt;=R4),"CASE 4",FALSE()))))</f>
        <v>0</v>
      </c>
      <c r="R37">
        <f>ABS(P33-P$4)</f>
        <v>0.46755847699999986</v>
      </c>
      <c r="S37" s="1">
        <v>0.1480210142</v>
      </c>
      <c r="T37" t="str">
        <f>IF(AND(T33&lt;=T4,T33&gt;=U4),"CASE 2",IF(AND(U33&lt;=T4,U33&gt;=U4),"CASE 1",IF(AND(T33&gt;=T4,U33&lt;=U4),"CASE 3",IF(AND(T33&lt;=T4,U33&gt;=U4),"CASE 4",FALSE()))))</f>
        <v>CASE 3</v>
      </c>
      <c r="U37">
        <f>ABS(S33-S$4)</f>
        <v>2.8129655999999947E-2</v>
      </c>
      <c r="V37" s="1">
        <v>0.25284954720000002</v>
      </c>
      <c r="W37" t="str">
        <f>IF(AND(W33&lt;=W4,W33&gt;=X4),"CASE 2",IF(AND(X33&lt;=W4,X33&gt;=X4),"CASE 1",IF(AND(W33&gt;=W4,X33&lt;=X4),"CASE 3",IF(AND(W33&lt;=W4,X33&gt;=X4),"CASE 4",FALSE()))))</f>
        <v>CASE 1</v>
      </c>
      <c r="X37">
        <f>ABS(V33-V$4)</f>
        <v>0.2450510640000001</v>
      </c>
      <c r="Y37" s="1">
        <v>0.39374268600000001</v>
      </c>
      <c r="Z37" t="str">
        <f>IF(AND(Z33&lt;=Z4,Z33&gt;=AA4),"CASE 2",IF(AND(AA33&lt;=Z4,AA33&gt;=AA4),"CASE 1",IF(AND(Z33&gt;=Z4,AA33&lt;=AA4),"CASE 3",IF(AND(Z33&lt;=Z4,AA33&gt;=AA4),"CASE 4",FALSE()))))</f>
        <v>CASE 3</v>
      </c>
      <c r="AA37">
        <f>ABS(Y33-Y$4)</f>
        <v>8.5960221999999975E-2</v>
      </c>
      <c r="AB37" s="1">
        <v>0.951389237</v>
      </c>
      <c r="AC37" t="str">
        <f>IF(AND(AC33&lt;=AC4,AC33&gt;=AD4),"CASE 2",IF(AND(AD33&lt;=AC4,AD33&gt;=AD4),"CASE 1",IF(AND(AC33&gt;=AC4,AD33&lt;=AD4),"CASE 3",IF(AND(AC33&lt;=AC4,AD33&gt;=AD4),"CASE 4",FALSE()))))</f>
        <v>CASE 3</v>
      </c>
      <c r="AD37">
        <f>ABS(AB33-AB$4)</f>
        <v>2.7740258000000129E-2</v>
      </c>
      <c r="AE37" s="1">
        <v>0.71325976540000002</v>
      </c>
      <c r="AF37" t="str">
        <f>IF(AND(AF33&lt;=AF4,AF33&gt;=AG4),"CASE 2",IF(AND(AG33&lt;=AF4,AG33&gt;=AG4),"CASE 1",IF(AND(AF33&gt;=AF4,AG33&lt;=AG4),"CASE 3",IF(AND(AF33&lt;=AF4,AG33&gt;=AG4),"CASE 4",FALSE()))))</f>
        <v>CASE 1</v>
      </c>
      <c r="AG37">
        <f>ABS(AE33-AE$4)</f>
        <v>0.99746391899999987</v>
      </c>
    </row>
    <row r="38" spans="1:34" x14ac:dyDescent="0.35">
      <c r="A38" s="1">
        <v>6.0415227779999997E-2</v>
      </c>
      <c r="B38" t="str">
        <f>IF(AND(B34&lt;=B5,B34&gt;=C5),"CASE 2",IF(AND(C34&lt;=B5,C34&gt;=C5),"CASE 1",IF(AND(B34&gt;=B5,C34&lt;=C5),"CASE 3",IF(AND(B34&lt;=B5,C34&gt;=C5),"CASE 4",FALSE()))))</f>
        <v>CASE 3</v>
      </c>
      <c r="C38">
        <f>ABS(A34-A$5)</f>
        <v>1.5367716999999947E-2</v>
      </c>
      <c r="D38" s="1">
        <v>0.17833009799999999</v>
      </c>
      <c r="E38" t="str">
        <f>IF(AND(E34&lt;=E5,E34&gt;=F5),"CASE 2",IF(AND(F34&lt;=E5,F34&gt;=F5),"CASE 1",IF(AND(E34&gt;=E5,F34&lt;=F5),"CASE 3",IF(AND(E34&lt;=E5,F34&gt;=F5),"CASE 4",FALSE()))))</f>
        <v>CASE 3</v>
      </c>
      <c r="F38">
        <f>ABS(D34-D$5)</f>
        <v>3.5407304000000028E-2</v>
      </c>
      <c r="G38" s="1">
        <v>0.17092030089999999</v>
      </c>
      <c r="H38" t="str">
        <f>IF(AND(H34&lt;=H5,H34&gt;=I5),"CASE 2",IF(AND(I34&lt;=H5,I34&gt;=I5),"CASE 1",IF(AND(H34&gt;=H5,I34&lt;=I5),"CASE 3",IF(AND(H34&lt;=H5,I34&gt;=I5),"CASE 4",FALSE()))))</f>
        <v>CASE 3</v>
      </c>
      <c r="I38">
        <f>ABS(G34-G$5)</f>
        <v>1.3312727000000191E-2</v>
      </c>
      <c r="J38" s="1">
        <v>9.157458181E-2</v>
      </c>
      <c r="K38" t="str">
        <f>IF(AND(K34&lt;=K5,K34&gt;=L5),"CASE 2",IF(AND(L34&lt;=K5,L34&gt;=L5),"CASE 1",IF(AND(K34&gt;=K5,L34&lt;=L5),"CASE 3",IF(AND(K34&lt;=K5,L34&gt;=L5),"CASE 4",FALSE()))))</f>
        <v>CASE 3</v>
      </c>
      <c r="L38">
        <f>ABS(J34-J$5)</f>
        <v>7.0670990000001321E-3</v>
      </c>
      <c r="M38" s="1">
        <v>0.30402788040000001</v>
      </c>
      <c r="N38" t="str">
        <f>IF(AND(N34&lt;=N5,N34&gt;=O5),"CASE 2",IF(AND(O34&lt;=N5,O34&gt;=O5),"CASE 1",IF(AND(N34&gt;=N5,O34&lt;=O5),"CASE 3",IF(AND(N34&lt;=N5,O34&gt;=O5),"CASE 4",FALSE()))))</f>
        <v>CASE 1</v>
      </c>
      <c r="O38">
        <f>ABS(M34-M$5)</f>
        <v>0.28191447199999997</v>
      </c>
      <c r="P38" s="1">
        <v>0.1042188839</v>
      </c>
      <c r="Q38" t="str">
        <f>IF(AND(Q34&lt;=Q5,Q34&gt;=R5),"CASE 2",IF(AND(R34&lt;=Q5,R34&gt;=R5),"CASE 1",IF(AND(Q34&gt;=Q5,R34&lt;=R5),"CASE 3",IF(AND(Q34&lt;=Q5,R34&gt;=R5),"CASE 4",FALSE()))))</f>
        <v>CASE 3</v>
      </c>
      <c r="R38">
        <f>ABS(P34-P$5)</f>
        <v>3.742110700000012E-2</v>
      </c>
      <c r="S38" s="1">
        <v>9.7592243280000004E-2</v>
      </c>
      <c r="T38" t="str">
        <f>IF(AND(T34&lt;=T5,T34&gt;=U5),"CASE 2",IF(AND(U34&lt;=T5,U34&gt;=U5),"CASE 1",IF(AND(T34&gt;=T5,U34&lt;=U5),"CASE 3",IF(AND(T34&lt;=T5,U34&gt;=U5),"CASE 4",FALSE()))))</f>
        <v>CASE 3</v>
      </c>
      <c r="U38">
        <f>ABS(S34-S$5)</f>
        <v>8.2364049999998912E-3</v>
      </c>
      <c r="V38" s="1">
        <v>0.32607690169999998</v>
      </c>
      <c r="W38" t="str">
        <f>IF(AND(W34&lt;=W5,W34&gt;=X5),"CASE 2",IF(AND(X34&lt;=W5,X34&gt;=X5),"CASE 1",IF(AND(W34&gt;=W5,X34&lt;=X5),"CASE 3",IF(AND(W34&lt;=W5,X34&gt;=X5),"CASE 4",FALSE()))))</f>
        <v>CASE 3</v>
      </c>
      <c r="X38">
        <f>ABS(V34-V$5)</f>
        <v>1.8058777000000026E-2</v>
      </c>
      <c r="Y38" s="1">
        <v>0.30991120220000001</v>
      </c>
      <c r="Z38" t="str">
        <f>IF(AND(Z34&lt;=Z5,Z34&gt;=AA5),"CASE 2",IF(AND(AA34&lt;=Z5,AA34&gt;=AA5),"CASE 1",IF(AND(Z34&gt;=Z5,AA34&lt;=AA5),"CASE 3",IF(AND(Z34&lt;=Z5,AA34&gt;=AA5),"CASE 4",FALSE()))))</f>
        <v>CASE 3</v>
      </c>
      <c r="AA38">
        <f>ABS(Y34-Y$5)</f>
        <v>0.14359054400000004</v>
      </c>
      <c r="AB38" s="1">
        <v>0.3136034009</v>
      </c>
      <c r="AC38" t="str">
        <f>IF(AND(AC34&lt;=AC5,AC34&gt;=AD5),"CASE 2",IF(AND(AD34&lt;=AC5,AD34&gt;=AD5),"CASE 1",IF(AND(AC34&gt;=AC5,AD34&lt;=AD5),"CASE 3",IF(AND(AC34&lt;=AC5,AD34&gt;=AD5),"CASE 4",FALSE()))))</f>
        <v>CASE 3</v>
      </c>
      <c r="AD38">
        <f>ABS(AB34-AB$5)</f>
        <v>1.1032900000018664E-4</v>
      </c>
      <c r="AE38" s="1">
        <v>1.551859836</v>
      </c>
      <c r="AF38" t="str">
        <f>IF(AND(AF34&lt;=AF5,AF34&gt;=AG5),"CASE 2",IF(AND(AG34&lt;=AF5,AG34&gt;=AG5),"CASE 1",IF(AND(AF34&gt;=AF5,AG34&lt;=AG5),"CASE 3",IF(AND(AF34&lt;=AF5,AG34&gt;=AG5),"CASE 4",FALSE()))))</f>
        <v>CASE 3</v>
      </c>
      <c r="AG38">
        <f>ABS(AE34-AE$5)</f>
        <v>0.83407878899999988</v>
      </c>
      <c r="AH38" t="s">
        <v>17</v>
      </c>
    </row>
    <row r="39" spans="1:34" x14ac:dyDescent="0.35">
      <c r="B39" t="s">
        <v>16</v>
      </c>
      <c r="C39">
        <f>SUM(C35:C38)</f>
        <v>0.13092572199999952</v>
      </c>
      <c r="E39" t="s">
        <v>16</v>
      </c>
      <c r="F39">
        <f>SUM(F35:F38)</f>
        <v>0.68688735600000062</v>
      </c>
      <c r="H39" t="s">
        <v>16</v>
      </c>
      <c r="I39">
        <f>SUM(I35:I38)</f>
        <v>0.17835931300000119</v>
      </c>
      <c r="K39" t="s">
        <v>16</v>
      </c>
      <c r="L39">
        <f>SUM(L35:L38)</f>
        <v>0.25815621400000066</v>
      </c>
      <c r="N39" t="s">
        <v>16</v>
      </c>
      <c r="O39">
        <f>SUM(O35:O38)</f>
        <v>3.0826420420000011</v>
      </c>
      <c r="Q39" t="s">
        <v>16</v>
      </c>
      <c r="R39">
        <f>SUM(R35:R38)</f>
        <v>0.90784374699999937</v>
      </c>
      <c r="T39" t="s">
        <v>16</v>
      </c>
      <c r="U39">
        <f>SUM(U35:U38)</f>
        <v>0.10929734300000193</v>
      </c>
      <c r="W39" t="s">
        <v>16</v>
      </c>
      <c r="X39">
        <f>SUM(X35:X38)</f>
        <v>0.51851684699999967</v>
      </c>
      <c r="Z39" t="s">
        <v>16</v>
      </c>
      <c r="AA39">
        <f>SUM(AA35:AA38)</f>
        <v>0.8612935739999994</v>
      </c>
      <c r="AC39" t="s">
        <v>16</v>
      </c>
      <c r="AD39">
        <f>SUM(AD35:AD38)</f>
        <v>0.93120457400000034</v>
      </c>
      <c r="AF39" t="s">
        <v>16</v>
      </c>
      <c r="AG39">
        <f>SUM(AG35:AG38)</f>
        <v>17.527489759999998</v>
      </c>
      <c r="AH39">
        <f>SUM(F35:F38,C35:C38,I35:I38,L35:L38,O35:O38,R35:R38,U35:U38,X35:X38,AA35:AA38,AD35:AD38)</f>
        <v>7.6651267320000045</v>
      </c>
    </row>
    <row r="40" spans="1:34" x14ac:dyDescent="0.35">
      <c r="A40" s="1" t="s">
        <v>4</v>
      </c>
    </row>
    <row r="41" spans="1:34" x14ac:dyDescent="0.35">
      <c r="A41" s="1">
        <v>16.396186350000001</v>
      </c>
      <c r="B41">
        <f>A41+A45</f>
        <v>16.41726787188</v>
      </c>
      <c r="C41">
        <f>A41-A45</f>
        <v>16.375104828120001</v>
      </c>
      <c r="D41" s="1">
        <v>15.46635783</v>
      </c>
      <c r="E41">
        <f>D41+D45</f>
        <v>15.662252023699999</v>
      </c>
      <c r="F41">
        <f>D41-D45</f>
        <v>15.270463636300001</v>
      </c>
      <c r="G41" s="1">
        <v>15.90564144</v>
      </c>
      <c r="H41">
        <f>G41+G45</f>
        <v>15.943012930170001</v>
      </c>
      <c r="I41">
        <f>G41-G45</f>
        <v>15.868269949829999</v>
      </c>
      <c r="J41" s="1">
        <v>15.910065830000001</v>
      </c>
      <c r="K41">
        <f>J41+J45</f>
        <v>15.96640264234</v>
      </c>
      <c r="L41">
        <f>J41-J45</f>
        <v>15.853729017660001</v>
      </c>
      <c r="M41" s="1">
        <v>15.81004429</v>
      </c>
      <c r="N41">
        <f>M41+M45</f>
        <v>15.9973187124</v>
      </c>
      <c r="O41">
        <f>M41-M45</f>
        <v>15.622769867600001</v>
      </c>
      <c r="P41" s="1">
        <v>15.73239467</v>
      </c>
      <c r="Q41">
        <f>P41+P45</f>
        <v>15.79543377069</v>
      </c>
      <c r="R41">
        <f>P41-P45</f>
        <v>15.66935556931</v>
      </c>
      <c r="S41" s="1">
        <v>16.09637094</v>
      </c>
      <c r="T41">
        <f>S41+S45</f>
        <v>16.136164096070001</v>
      </c>
      <c r="U41">
        <f>S41-S45</f>
        <v>16.056577783929999</v>
      </c>
      <c r="V41" s="1">
        <v>15.4886055</v>
      </c>
      <c r="W41">
        <f>V41+V45</f>
        <v>15.581267276550001</v>
      </c>
      <c r="X41">
        <f>V41-V45</f>
        <v>15.395943723449999</v>
      </c>
      <c r="Y41" s="1">
        <v>14.82047118</v>
      </c>
      <c r="Z41">
        <f>Y41+Y45</f>
        <v>14.9195654681</v>
      </c>
      <c r="AA41">
        <f>Y41-Y45</f>
        <v>14.7213768919</v>
      </c>
      <c r="AB41" s="1">
        <v>15.01187444</v>
      </c>
      <c r="AC41">
        <f>AB41+AB45</f>
        <v>15.1641525253</v>
      </c>
      <c r="AD41">
        <f>AB41-AB45</f>
        <v>14.859596354699999</v>
      </c>
      <c r="AE41" s="1">
        <v>16.107152459999998</v>
      </c>
      <c r="AF41">
        <f>AE41+AE45</f>
        <v>16.398342526299999</v>
      </c>
      <c r="AG41">
        <f>AE41-AE45</f>
        <v>15.815962393699998</v>
      </c>
    </row>
    <row r="42" spans="1:34" x14ac:dyDescent="0.35">
      <c r="A42" s="1">
        <v>3.8582258079999998</v>
      </c>
      <c r="B42">
        <f>A42+A46</f>
        <v>4.0193839535000002</v>
      </c>
      <c r="C42">
        <f>A42-A46</f>
        <v>3.6970676624999999</v>
      </c>
      <c r="D42" s="1">
        <v>3.5903244609999998</v>
      </c>
      <c r="E42">
        <f>D42+D46</f>
        <v>3.9938416123999998</v>
      </c>
      <c r="F42">
        <f>D42-D46</f>
        <v>3.1868073095999998</v>
      </c>
      <c r="G42" s="1">
        <v>4.2917740640000002</v>
      </c>
      <c r="H42">
        <f>G42+G46</f>
        <v>4.5870752348000003</v>
      </c>
      <c r="I42">
        <f>G42-G46</f>
        <v>3.9964728932</v>
      </c>
      <c r="J42" s="1">
        <v>4.2483703200000003</v>
      </c>
      <c r="K42">
        <f>J42+J46</f>
        <v>4.4730351750000006</v>
      </c>
      <c r="L42">
        <f>J42-J46</f>
        <v>4.0237054649999999</v>
      </c>
      <c r="M42" s="1">
        <v>4.3467073440000004</v>
      </c>
      <c r="N42">
        <f>M42+M46</f>
        <v>5.1364835645000007</v>
      </c>
      <c r="O42">
        <f>M42-M46</f>
        <v>3.5569311235000005</v>
      </c>
      <c r="P42" s="1">
        <v>4.6338319779999999</v>
      </c>
      <c r="Q42">
        <f>P42+P46</f>
        <v>4.8423241067999996</v>
      </c>
      <c r="R42">
        <f>P42-P46</f>
        <v>4.4253398492000002</v>
      </c>
      <c r="S42" s="1">
        <v>3.9853460190000001</v>
      </c>
      <c r="T42">
        <f>S42+S46</f>
        <v>4.2029910423999999</v>
      </c>
      <c r="U42">
        <f>S42-S46</f>
        <v>3.7677009956000003</v>
      </c>
      <c r="V42" s="1">
        <v>4.5680142640000003</v>
      </c>
      <c r="W42">
        <f>V42+V46</f>
        <v>5.3326735565000005</v>
      </c>
      <c r="X42">
        <f>V42-V46</f>
        <v>3.8033549715000001</v>
      </c>
      <c r="Y42" s="1">
        <v>4.6418944599999996</v>
      </c>
      <c r="Z42">
        <f>Y42+Y46</f>
        <v>5.5159915125999994</v>
      </c>
      <c r="AA42">
        <f>Y42-Y46</f>
        <v>3.7677974073999998</v>
      </c>
      <c r="AB42" s="1">
        <v>5.3052151199999997</v>
      </c>
      <c r="AC42">
        <f>AB42+AB46</f>
        <v>5.9073138792000002</v>
      </c>
      <c r="AD42">
        <f>AB42-AB46</f>
        <v>4.7031163607999993</v>
      </c>
      <c r="AE42" s="1">
        <v>20</v>
      </c>
      <c r="AF42">
        <f>AE42+AE46</f>
        <v>22.359560977000001</v>
      </c>
      <c r="AG42">
        <f>AE42-AE46</f>
        <v>17.640439022999999</v>
      </c>
    </row>
    <row r="43" spans="1:34" x14ac:dyDescent="0.35">
      <c r="A43" s="1">
        <v>2.6941472649999998</v>
      </c>
      <c r="B43">
        <f>A43+A47</f>
        <v>2.7842662008199999</v>
      </c>
      <c r="C43">
        <f>A43-A47</f>
        <v>2.6040283291799997</v>
      </c>
      <c r="D43" s="1">
        <v>2.1842413660000002</v>
      </c>
      <c r="E43">
        <f>D43+D47</f>
        <v>2.7488860507000004</v>
      </c>
      <c r="F43">
        <f>D43-D47</f>
        <v>1.6195966813000002</v>
      </c>
      <c r="G43" s="1">
        <v>1.1752987429999999</v>
      </c>
      <c r="H43">
        <f>G43+G47</f>
        <v>1.26037501848</v>
      </c>
      <c r="I43">
        <f>G43-G47</f>
        <v>1.0902224675199998</v>
      </c>
      <c r="J43" s="1">
        <v>2.2649652360000001</v>
      </c>
      <c r="K43">
        <f>J43+J47</f>
        <v>2.4745852130000001</v>
      </c>
      <c r="L43">
        <f>J43-J47</f>
        <v>2.0553452590000001</v>
      </c>
      <c r="M43" s="1">
        <v>3.2064326520000002</v>
      </c>
      <c r="N43">
        <f>M43+M47</f>
        <v>4.2775345329999999</v>
      </c>
      <c r="O43">
        <f>M43-M47</f>
        <v>2.1353307710000005</v>
      </c>
      <c r="P43" s="1">
        <v>2.9531110229999999</v>
      </c>
      <c r="Q43">
        <f>P43+P47</f>
        <v>3.2242056199999998</v>
      </c>
      <c r="R43">
        <f>P43-P47</f>
        <v>2.6820164260000001</v>
      </c>
      <c r="S43" s="1">
        <v>2.0361217859999998</v>
      </c>
      <c r="T43">
        <f>S43+S47</f>
        <v>2.1841428001999996</v>
      </c>
      <c r="U43">
        <f>S43-S47</f>
        <v>1.8881007717999998</v>
      </c>
      <c r="V43" s="1">
        <v>1.6815049500000001</v>
      </c>
      <c r="W43">
        <f>V43+V47</f>
        <v>1.9343544972000002</v>
      </c>
      <c r="X43">
        <f>V43-V47</f>
        <v>1.4286554028</v>
      </c>
      <c r="Y43" s="1">
        <v>1.8449637759999999</v>
      </c>
      <c r="Z43">
        <f>Y43+Y47</f>
        <v>2.2387064620000001</v>
      </c>
      <c r="AA43">
        <f>Y43-Y47</f>
        <v>1.45122109</v>
      </c>
      <c r="AB43" s="1">
        <v>3.2424260970000001</v>
      </c>
      <c r="AC43">
        <f>AB43+AB47</f>
        <v>4.193815334</v>
      </c>
      <c r="AD43">
        <f>AB43-AB47</f>
        <v>2.2910368600000002</v>
      </c>
      <c r="AE43" s="1">
        <v>2.7587534339999999</v>
      </c>
      <c r="AF43">
        <f>AE43+AE47</f>
        <v>3.4720131994000001</v>
      </c>
      <c r="AG43">
        <f>AE43-AE47</f>
        <v>2.0454936685999998</v>
      </c>
    </row>
    <row r="44" spans="1:34" x14ac:dyDescent="0.35">
      <c r="A44" s="1">
        <v>1.945098132</v>
      </c>
      <c r="B44">
        <f>A44+A48</f>
        <v>2.0055133597800001</v>
      </c>
      <c r="C44">
        <f>A44-A48</f>
        <v>1.88468290422</v>
      </c>
      <c r="D44" s="1">
        <v>1.820799828</v>
      </c>
      <c r="E44">
        <f>D44+D48</f>
        <v>1.9991299259999999</v>
      </c>
      <c r="F44">
        <f>D44-D48</f>
        <v>1.64246973</v>
      </c>
      <c r="G44" s="1">
        <v>1.9666092690000001</v>
      </c>
      <c r="H44">
        <f>G44+G48</f>
        <v>2.1375295698999999</v>
      </c>
      <c r="I44">
        <f>G44-G48</f>
        <v>1.7956889681000001</v>
      </c>
      <c r="J44" s="1">
        <v>1.9065103379999999</v>
      </c>
      <c r="K44">
        <f>J44+J48</f>
        <v>1.9980849198099999</v>
      </c>
      <c r="L44">
        <f>J44-J48</f>
        <v>1.8149357561899999</v>
      </c>
      <c r="M44" s="1">
        <v>2.2835018630000001</v>
      </c>
      <c r="N44">
        <f>M44+M48</f>
        <v>2.5875297434000002</v>
      </c>
      <c r="O44">
        <f>M44-M48</f>
        <v>1.9794739826000001</v>
      </c>
      <c r="P44" s="1">
        <v>2.097764969</v>
      </c>
      <c r="Q44">
        <f>P44+P48</f>
        <v>2.2019838528999998</v>
      </c>
      <c r="R44">
        <f>P44-P48</f>
        <v>1.9935460851</v>
      </c>
      <c r="S44" s="1">
        <v>1.6573758089999999</v>
      </c>
      <c r="T44">
        <f>S44+S48</f>
        <v>1.75496805228</v>
      </c>
      <c r="U44">
        <f>S44-S48</f>
        <v>1.5597835657199999</v>
      </c>
      <c r="V44" s="1">
        <v>1.99659586</v>
      </c>
      <c r="W44">
        <f>V44+V48</f>
        <v>2.3226727616999998</v>
      </c>
      <c r="X44">
        <f>V44-V48</f>
        <v>1.6705189583</v>
      </c>
      <c r="Y44" s="1">
        <v>1.908144955</v>
      </c>
      <c r="Z44">
        <f>Y44+Y48</f>
        <v>2.2180561571999999</v>
      </c>
      <c r="AA44">
        <f>Y44-Y48</f>
        <v>1.5982337528000001</v>
      </c>
      <c r="AB44" s="1">
        <v>1.7164365049999999</v>
      </c>
      <c r="AC44">
        <f>AB44+AB48</f>
        <v>2.0300399058999998</v>
      </c>
      <c r="AD44">
        <f>AB44-AB48</f>
        <v>1.4028331041</v>
      </c>
      <c r="AE44" s="1">
        <v>2.3514337539999999</v>
      </c>
      <c r="AF44">
        <f>AE44+AE48</f>
        <v>3.9032935899999996</v>
      </c>
      <c r="AG44">
        <f>AE44-AE48</f>
        <v>0.79957391799999988</v>
      </c>
    </row>
    <row r="45" spans="1:34" x14ac:dyDescent="0.35">
      <c r="A45" s="1">
        <v>2.1081521879999999E-2</v>
      </c>
      <c r="B45" t="str">
        <f>IF(AND(B41&lt;=B2,B41&gt;=C2),"CASE 2",IF(AND(C41&lt;=B2,C41&gt;=C2),"CASE 1",IF(AND(B41&gt;=B2,C41&lt;=C2),"CASE 3",IF(AND(B41&lt;=B2,C41&gt;=C2),"CASE 4",FALSE()))))</f>
        <v>CASE 2</v>
      </c>
      <c r="C45">
        <f>ABS(A41-A$2)</f>
        <v>2.1728039999999282E-2</v>
      </c>
      <c r="D45" s="1">
        <v>0.1958941937</v>
      </c>
      <c r="E45" t="str">
        <f>IF(AND(E41&lt;=E2,E41&gt;=F2),"CASE 2",IF(AND(F41&lt;=E2,F41&gt;=F2),"CASE 1",IF(AND(E41&gt;=E2,F41&lt;=F2),"CASE 3",IF(AND(E41&lt;=E2,F41&gt;=F2),"CASE 4",FALSE()))))</f>
        <v>CASE 2</v>
      </c>
      <c r="F45">
        <f>ABS(D41-D$2)</f>
        <v>0.13180935000000105</v>
      </c>
      <c r="G45" s="1">
        <v>3.737149017E-2</v>
      </c>
      <c r="H45" t="str">
        <f>IF(AND(H41&lt;=H2,H41&gt;=I2),"CASE 2",IF(AND(I41&lt;=H2,I41&gt;=I2),"CASE 1",IF(AND(H41&gt;=H2,I41&lt;=I2),"CASE 3",IF(AND(H41&lt;=H2,I41&gt;=I2),"CASE 4",FALSE()))))</f>
        <v>CASE 3</v>
      </c>
      <c r="I45">
        <f>ABS(G41-G$2)</f>
        <v>5.9648800000005053E-3</v>
      </c>
      <c r="J45" s="1">
        <v>5.633681234E-2</v>
      </c>
      <c r="K45" t="str">
        <f>IF(AND(K41&lt;=K2,K41&gt;=L2),"CASE 2",IF(AND(L41&lt;=K2,L41&gt;=L2),"CASE 1",IF(AND(K41&gt;=K2,L41&lt;=L2),"CASE 3",IF(AND(K41&lt;=K2,L41&gt;=L2),"CASE 4",FALSE()))))</f>
        <v>CASE 1</v>
      </c>
      <c r="L45">
        <f>ABS(J41-J$2)</f>
        <v>3.9661770000000374E-2</v>
      </c>
      <c r="M45" s="1">
        <v>0.1872744224</v>
      </c>
      <c r="N45" t="b">
        <f>IF(AND(N41&lt;=N2,N41&gt;=O2),"CASE 2",IF(AND(O41&lt;=N2,O41&gt;=O2),"CASE 1",IF(AND(N41&gt;=N2,O41&lt;=O2),"CASE 3",IF(AND(N41&lt;=N2,O41&gt;=O2),"CASE 4",FALSE()))))</f>
        <v>0</v>
      </c>
      <c r="O45">
        <f>ABS(M41-M$2)</f>
        <v>0.25767100000000021</v>
      </c>
      <c r="P45" s="1">
        <v>6.3039100690000002E-2</v>
      </c>
      <c r="Q45" t="b">
        <f>IF(AND(Q41&lt;=Q2,Q41&gt;=R2),"CASE 2",IF(AND(R41&lt;=Q2,R41&gt;=R2),"CASE 1",IF(AND(Q41&gt;=Q2,R41&lt;=R2),"CASE 3",IF(AND(Q41&lt;=Q2,R41&gt;=R2),"CASE 4",FALSE()))))</f>
        <v>0</v>
      </c>
      <c r="R45">
        <f>ABS(P41-P$2)</f>
        <v>0.13928693999999986</v>
      </c>
      <c r="S45" s="1">
        <v>3.9793156070000002E-2</v>
      </c>
      <c r="T45" t="str">
        <f>IF(AND(T41&lt;=T2,T41&gt;=U2),"CASE 2",IF(AND(U41&lt;=T2,U41&gt;=U2),"CASE 1",IF(AND(T41&gt;=T2,U41&lt;=U2),"CASE 3",IF(AND(T41&lt;=T2,U41&gt;=U2),"CASE 4",FALSE()))))</f>
        <v>CASE 3</v>
      </c>
      <c r="U45">
        <f>ABS(S41-S$2)</f>
        <v>1.2860410000001821E-2</v>
      </c>
      <c r="V45" s="1">
        <v>9.2661776550000005E-2</v>
      </c>
      <c r="W45" t="str">
        <f>IF(AND(W41&lt;=W2,W41&gt;=X2),"CASE 2",IF(AND(X41&lt;=W2,X41&gt;=X2),"CASE 1",IF(AND(W41&gt;=W2,X41&lt;=X2),"CASE 3",IF(AND(W41&lt;=W2,X41&gt;=X2),"CASE 4",FALSE()))))</f>
        <v>CASE 1</v>
      </c>
      <c r="X45">
        <f>ABS(V41-V$2)</f>
        <v>6.5313339999999442E-2</v>
      </c>
      <c r="Y45" s="1">
        <v>9.9094288099999997E-2</v>
      </c>
      <c r="Z45" t="str">
        <f>IF(AND(Z41&lt;=Z2,Z41&gt;=AA2),"CASE 2",IF(AND(AA41&lt;=Z2,AA41&gt;=AA2),"CASE 1",IF(AND(Z41&gt;=Z2,AA41&lt;=AA2),"CASE 3",IF(AND(Z41&lt;=Z2,AA41&gt;=AA2),"CASE 4",FALSE()))))</f>
        <v>CASE 3</v>
      </c>
      <c r="AA45">
        <f>ABS(Y41-Y$2)</f>
        <v>3.1362670000000037E-2</v>
      </c>
      <c r="AB45" s="1">
        <v>0.1522780853</v>
      </c>
      <c r="AC45" t="str">
        <f>IF(AND(AC41&lt;=AC2,AC41&gt;=AD2),"CASE 2",IF(AND(AD41&lt;=AC2,AD41&gt;=AD2),"CASE 1",IF(AND(AC41&gt;=AC2,AD41&lt;=AD2),"CASE 3",IF(AND(AC41&lt;=AC2,AD41&gt;=AD2),"CASE 4",FALSE()))))</f>
        <v>CASE 1</v>
      </c>
      <c r="AD45">
        <f>ABS(AB41-AB$2)</f>
        <v>5.6386350000000363E-2</v>
      </c>
      <c r="AE45" s="1">
        <v>0.29119006629999999</v>
      </c>
      <c r="AF45" t="b">
        <f>IF(AND(AF41&lt;=AF2,AF41&gt;=AG2),"CASE 2",IF(AND(AG41&lt;=AF2,AG41&gt;=AG2),"CASE 1",IF(AND(AF41&gt;=AF2,AG41&lt;=AG2),"CASE 3",IF(AND(AF41&lt;=AF2,AG41&gt;=AG2),"CASE 4",FALSE()))))</f>
        <v>0</v>
      </c>
      <c r="AG45">
        <f>ABS(AE41-AE$2)</f>
        <v>0.95350801999999746</v>
      </c>
    </row>
    <row r="46" spans="1:34" x14ac:dyDescent="0.35">
      <c r="A46" s="1">
        <v>0.16115814549999999</v>
      </c>
      <c r="B46" t="str">
        <f>IF(AND(B42&lt;=B3,B42&gt;=C3),"CASE 2",IF(AND(C42&lt;=B3,C42&gt;=C3),"CASE 1",IF(AND(B42&gt;=B3,C42&lt;=C3),"CASE 3",IF(AND(B42&lt;=B3,C42&gt;=C3),"CASE 4",FALSE()))))</f>
        <v>CASE 2</v>
      </c>
      <c r="C46">
        <f>ABS(A42-A$3)</f>
        <v>8.1731095000000309E-2</v>
      </c>
      <c r="D46" s="1">
        <v>0.4035171514</v>
      </c>
      <c r="E46" t="str">
        <f>IF(AND(E42&lt;=E3,E42&gt;=F3),"CASE 2",IF(AND(F42&lt;=E3,F42&gt;=F3),"CASE 1",IF(AND(E42&gt;=E3,F42&lt;=F3),"CASE 3",IF(AND(E42&lt;=E3,F42&gt;=F3),"CASE 4",FALSE()))))</f>
        <v>CASE 3</v>
      </c>
      <c r="F46">
        <f>ABS(D42-D$3)</f>
        <v>0.13109290599999968</v>
      </c>
      <c r="G46" s="1">
        <v>0.29530117080000001</v>
      </c>
      <c r="H46" t="str">
        <f>IF(AND(H42&lt;=H3,H42&gt;=I3),"CASE 2",IF(AND(I42&lt;=H3,I42&gt;=I3),"CASE 1",IF(AND(H42&gt;=H3,I42&lt;=I3),"CASE 3",IF(AND(H42&lt;=H3,I42&gt;=I3),"CASE 4",FALSE()))))</f>
        <v>CASE 3</v>
      </c>
      <c r="I46">
        <f>ABS(G42-G$3)</f>
        <v>9.4999698000000521E-2</v>
      </c>
      <c r="J46" s="1">
        <v>0.224664855</v>
      </c>
      <c r="K46" t="str">
        <f>IF(AND(K42&lt;=K3,K42&gt;=L3),"CASE 2",IF(AND(L42&lt;=K3,L42&gt;=L3),"CASE 1",IF(AND(K42&gt;=K3,L42&lt;=L3),"CASE 3",IF(AND(K42&lt;=K3,L42&gt;=L3),"CASE 4",FALSE()))))</f>
        <v>CASE 3</v>
      </c>
      <c r="L46">
        <f>ABS(J42-J$3)</f>
        <v>2.8729827000000263E-2</v>
      </c>
      <c r="M46" s="1">
        <v>0.78977622049999996</v>
      </c>
      <c r="N46" t="b">
        <f>IF(AND(N42&lt;=N3,N42&gt;=O3),"CASE 2",IF(AND(O42&lt;=N3,O42&gt;=O3),"CASE 1",IF(AND(N42&gt;=N3,O42&lt;=O3),"CASE 3",IF(AND(N42&lt;=N3,O42&gt;=O3),"CASE 4",FALSE()))))</f>
        <v>0</v>
      </c>
      <c r="O46">
        <f>ABS(M42-M$3)</f>
        <v>1.3234624710000005</v>
      </c>
      <c r="P46" s="1">
        <v>0.20849212880000001</v>
      </c>
      <c r="Q46" t="str">
        <f>IF(AND(Q42&lt;=Q3,Q42&gt;=R3),"CASE 2",IF(AND(R42&lt;=Q3,R42&gt;=R3),"CASE 1",IF(AND(Q42&gt;=Q3,R42&lt;=R3),"CASE 3",IF(AND(Q42&lt;=Q3,R42&gt;=R3),"CASE 4",FALSE()))))</f>
        <v>CASE 1</v>
      </c>
      <c r="R46">
        <f>ABS(P42-P$3)</f>
        <v>0.26357722299999953</v>
      </c>
      <c r="S46" s="1">
        <v>0.2176450234</v>
      </c>
      <c r="T46" t="str">
        <f>IF(AND(T42&lt;=T3,T42&gt;=U3),"CASE 2",IF(AND(U42&lt;=T3,U42&gt;=U3),"CASE 1",IF(AND(T42&gt;=T3,U42&lt;=U3),"CASE 3",IF(AND(T42&lt;=T3,U42&gt;=U3),"CASE 4",FALSE()))))</f>
        <v>CASE 3</v>
      </c>
      <c r="U46">
        <f>ABS(S42-S$3)</f>
        <v>6.0070872000000275E-2</v>
      </c>
      <c r="V46" s="1">
        <v>0.76465929249999998</v>
      </c>
      <c r="W46" t="str">
        <f>IF(AND(W42&lt;=W3,W42&gt;=X3),"CASE 2",IF(AND(X42&lt;=W3,X42&gt;=X3),"CASE 1",IF(AND(W42&gt;=W3,X42&lt;=X3),"CASE 3",IF(AND(W42&lt;=W3,X42&gt;=X3),"CASE 4",FALSE()))))</f>
        <v>CASE 3</v>
      </c>
      <c r="X46">
        <f>ABS(V42-V$3)</f>
        <v>0.19009366600000011</v>
      </c>
      <c r="Y46" s="1">
        <v>0.87409705260000004</v>
      </c>
      <c r="Z46" t="str">
        <f>IF(AND(Z42&lt;=Z3,Z42&gt;=AA3),"CASE 2",IF(AND(AA42&lt;=Z3,AA42&gt;=AA3),"CASE 1",IF(AND(Z42&gt;=Z3,AA42&lt;=AA3),"CASE 3",IF(AND(Z42&lt;=Z3,AA42&gt;=AA3),"CASE 4",FALSE()))))</f>
        <v>CASE 1</v>
      </c>
      <c r="AA46">
        <f>ABS(Y42-Y$3)</f>
        <v>0.60038013799999934</v>
      </c>
      <c r="AB46" s="1">
        <v>0.6020987592</v>
      </c>
      <c r="AC46" t="str">
        <f>IF(AND(AC42&lt;=AC3,AC42&gt;=AD3),"CASE 2",IF(AND(AD42&lt;=AC3,AD42&gt;=AD3),"CASE 1",IF(AND(AC42&gt;=AC3,AD42&lt;=AD3),"CASE 3",IF(AND(AC42&lt;=AC3,AD42&gt;=AD3),"CASE 4",FALSE()))))</f>
        <v>CASE 1</v>
      </c>
      <c r="AD46">
        <f>ABS(AB42-AB$3)</f>
        <v>0.84696763699999966</v>
      </c>
      <c r="AE46" s="1">
        <v>2.3595609770000001</v>
      </c>
      <c r="AF46" t="b">
        <f>IF(AND(AF42&lt;=AF3,AF42&gt;=AG3),"CASE 2",IF(AND(AG42&lt;=AF3,AG42&gt;=AG3),"CASE 1",IF(AND(AF42&gt;=AF3,AG42&lt;=AG3),"CASE 3",IF(AND(AF42&lt;=AF3,AG42&gt;=AG3),"CASE 4",FALSE()))))</f>
        <v>0</v>
      </c>
      <c r="AG46">
        <f>ABS(AE42-AE$3)</f>
        <v>14.742439032</v>
      </c>
    </row>
    <row r="47" spans="1:34" x14ac:dyDescent="0.35">
      <c r="A47" s="1">
        <v>9.0118935819999996E-2</v>
      </c>
      <c r="B47" t="str">
        <f>IF(AND(B43&lt;=B4,B43&gt;=C4),"CASE 2",IF(AND(C43&lt;=B4,C43&gt;=C4),"CASE 1",IF(AND(B43&gt;=B4,C43&lt;=C4),"CASE 3",IF(AND(B43&lt;=B4,C43&gt;=C4),"CASE 4",FALSE()))))</f>
        <v>CASE 3</v>
      </c>
      <c r="C47">
        <f>ABS(A43-A$4)</f>
        <v>1.2098869999999984E-2</v>
      </c>
      <c r="D47" s="1">
        <v>0.56464468469999995</v>
      </c>
      <c r="E47" t="str">
        <f>IF(AND(E43&lt;=E4,E43&gt;=F4),"CASE 2",IF(AND(F43&lt;=E4,F43&gt;=F4),"CASE 1",IF(AND(E43&gt;=E4,F43&lt;=F4),"CASE 3",IF(AND(E43&lt;=E4,F43&gt;=F4),"CASE 4",FALSE()))))</f>
        <v>CASE 2</v>
      </c>
      <c r="F47">
        <f>ABS(D43-D$4)</f>
        <v>0.38857779599999986</v>
      </c>
      <c r="G47" s="1">
        <v>8.5076275480000005E-2</v>
      </c>
      <c r="H47" t="str">
        <f>IF(AND(H43&lt;=H4,H43&gt;=I4),"CASE 2",IF(AND(I43&lt;=H4,I43&gt;=I4),"CASE 1",IF(AND(H43&gt;=H4,I43&lt;=I4),"CASE 3",IF(AND(H43&lt;=H4,I43&gt;=I4),"CASE 4",FALSE()))))</f>
        <v>CASE 1</v>
      </c>
      <c r="I47">
        <f>ABS(G43-G$4)</f>
        <v>6.4082007999999968E-2</v>
      </c>
      <c r="J47" s="1">
        <v>0.20961997700000001</v>
      </c>
      <c r="K47" t="str">
        <f>IF(AND(K43&lt;=K4,K43&gt;=L4),"CASE 2",IF(AND(L43&lt;=K4,L43&gt;=L4),"CASE 1",IF(AND(K43&gt;=K4,L43&lt;=L4),"CASE 3",IF(AND(K43&lt;=K4,L43&gt;=L4),"CASE 4",FALSE()))))</f>
        <v>CASE 1</v>
      </c>
      <c r="L47">
        <f>ABS(J43-J$4)</f>
        <v>0.18269751799999989</v>
      </c>
      <c r="M47" s="1">
        <v>1.0711018809999999</v>
      </c>
      <c r="N47" t="str">
        <f>IF(AND(N43&lt;=N4,N43&gt;=O4),"CASE 2",IF(AND(O43&lt;=N4,O43&gt;=O4),"CASE 1",IF(AND(N43&gt;=N4,O43&lt;=O4),"CASE 3",IF(AND(N43&lt;=N4,O43&gt;=O4),"CASE 4",FALSE()))))</f>
        <v>CASE 1</v>
      </c>
      <c r="O47">
        <f>ABS(M43-M$4)</f>
        <v>1.2195940990000003</v>
      </c>
      <c r="P47" s="1">
        <v>0.27109459699999999</v>
      </c>
      <c r="Q47" t="b">
        <f>IF(AND(Q43&lt;=Q4,Q43&gt;=R4),"CASE 2",IF(AND(R43&lt;=Q4,R43&gt;=R4),"CASE 1",IF(AND(Q43&gt;=Q4,R43&lt;=R4),"CASE 3",IF(AND(Q43&lt;=Q4,R43&gt;=R4),"CASE 4",FALSE()))))</f>
        <v>0</v>
      </c>
      <c r="R47">
        <f>ABS(P43-P$4)</f>
        <v>0.46755847699999986</v>
      </c>
      <c r="S47" s="1">
        <v>0.1480210142</v>
      </c>
      <c r="T47" t="str">
        <f>IF(AND(T43&lt;=T4,T43&gt;=U4),"CASE 2",IF(AND(U43&lt;=T4,U43&gt;=U4),"CASE 1",IF(AND(T43&gt;=T4,U43&lt;=U4),"CASE 3",IF(AND(T43&lt;=T4,U43&gt;=U4),"CASE 4",FALSE()))))</f>
        <v>CASE 3</v>
      </c>
      <c r="U47">
        <f>ABS(S43-S$4)</f>
        <v>2.8129655999999947E-2</v>
      </c>
      <c r="V47" s="1">
        <v>0.25284954720000002</v>
      </c>
      <c r="W47" t="str">
        <f>IF(AND(W43&lt;=W4,W43&gt;=X4),"CASE 2",IF(AND(X43&lt;=W4,X43&gt;=X4),"CASE 1",IF(AND(W43&gt;=W4,X43&lt;=X4),"CASE 3",IF(AND(W43&lt;=W4,X43&gt;=X4),"CASE 4",FALSE()))))</f>
        <v>CASE 1</v>
      </c>
      <c r="X47">
        <f>ABS(V43-V$4)</f>
        <v>0.2450510640000001</v>
      </c>
      <c r="Y47" s="1">
        <v>0.39374268600000001</v>
      </c>
      <c r="Z47" t="str">
        <f>IF(AND(Z43&lt;=Z4,Z43&gt;=AA4),"CASE 2",IF(AND(AA43&lt;=Z4,AA43&gt;=AA4),"CASE 1",IF(AND(Z43&gt;=Z4,AA43&lt;=AA4),"CASE 3",IF(AND(Z43&lt;=Z4,AA43&gt;=AA4),"CASE 4",FALSE()))))</f>
        <v>CASE 3</v>
      </c>
      <c r="AA47">
        <f>ABS(Y43-Y$4)</f>
        <v>8.5960221999999975E-2</v>
      </c>
      <c r="AB47" s="1">
        <v>0.951389237</v>
      </c>
      <c r="AC47" t="str">
        <f>IF(AND(AC43&lt;=AC4,AC43&gt;=AD4),"CASE 2",IF(AND(AD43&lt;=AC4,AD43&gt;=AD4),"CASE 1",IF(AND(AC43&gt;=AC4,AD43&lt;=AD4),"CASE 3",IF(AND(AC43&lt;=AC4,AD43&gt;=AD4),"CASE 4",FALSE()))))</f>
        <v>CASE 3</v>
      </c>
      <c r="AD47">
        <f>ABS(AB43-AB$4)</f>
        <v>2.7740258000000129E-2</v>
      </c>
      <c r="AE47" s="1">
        <v>0.71325976540000002</v>
      </c>
      <c r="AF47" t="str">
        <f>IF(AND(AF43&lt;=AF4,AF43&gt;=AG4),"CASE 2",IF(AND(AG43&lt;=AF4,AG43&gt;=AG4),"CASE 1",IF(AND(AF43&gt;=AF4,AG43&lt;=AG4),"CASE 3",IF(AND(AF43&lt;=AF4,AG43&gt;=AG4),"CASE 4",FALSE()))))</f>
        <v>CASE 1</v>
      </c>
      <c r="AG47">
        <f>ABS(AE43-AE$4)</f>
        <v>0.99746391899999987</v>
      </c>
    </row>
    <row r="48" spans="1:34" x14ac:dyDescent="0.35">
      <c r="A48" s="1">
        <v>6.0415227779999997E-2</v>
      </c>
      <c r="B48" t="str">
        <f>IF(AND(B44&lt;=B5,B44&gt;=C5),"CASE 2",IF(AND(C44&lt;=B5,C44&gt;=C5),"CASE 1",IF(AND(B44&gt;=B5,C44&lt;=C5),"CASE 3",IF(AND(B44&lt;=B5,C44&gt;=C5),"CASE 4",FALSE()))))</f>
        <v>CASE 3</v>
      </c>
      <c r="C48">
        <f>ABS(A44-A$5)</f>
        <v>1.5367716999999947E-2</v>
      </c>
      <c r="D48" s="1">
        <v>0.17833009799999999</v>
      </c>
      <c r="E48" t="str">
        <f>IF(AND(E44&lt;=E5,E44&gt;=F5),"CASE 2",IF(AND(F44&lt;=E5,F44&gt;=F5),"CASE 1",IF(AND(E44&gt;=E5,F44&lt;=F5),"CASE 3",IF(AND(E44&lt;=E5,F44&gt;=F5),"CASE 4",FALSE()))))</f>
        <v>CASE 3</v>
      </c>
      <c r="F48">
        <f>ABS(D44-D$5)</f>
        <v>3.5407304000000028E-2</v>
      </c>
      <c r="G48" s="1">
        <v>0.17092030089999999</v>
      </c>
      <c r="H48" t="str">
        <f>IF(AND(H44&lt;=H5,H44&gt;=I5),"CASE 2",IF(AND(I44&lt;=H5,I44&gt;=I5),"CASE 1",IF(AND(H44&gt;=H5,I44&lt;=I5),"CASE 3",IF(AND(H44&lt;=H5,I44&gt;=I5),"CASE 4",FALSE()))))</f>
        <v>CASE 3</v>
      </c>
      <c r="I48">
        <f>ABS(G44-G$5)</f>
        <v>1.3312727000000191E-2</v>
      </c>
      <c r="J48" s="1">
        <v>9.157458181E-2</v>
      </c>
      <c r="K48" t="str">
        <f>IF(AND(K44&lt;=K5,K44&gt;=L5),"CASE 2",IF(AND(L44&lt;=K5,L44&gt;=L5),"CASE 1",IF(AND(K44&gt;=K5,L44&lt;=L5),"CASE 3",IF(AND(K44&lt;=K5,L44&gt;=L5),"CASE 4",FALSE()))))</f>
        <v>CASE 3</v>
      </c>
      <c r="L48">
        <f>ABS(J44-J$5)</f>
        <v>7.0670990000001321E-3</v>
      </c>
      <c r="M48" s="1">
        <v>0.30402788040000001</v>
      </c>
      <c r="N48" t="str">
        <f>IF(AND(N44&lt;=N5,N44&gt;=O5),"CASE 2",IF(AND(O44&lt;=N5,O44&gt;=O5),"CASE 1",IF(AND(N44&gt;=N5,O44&lt;=O5),"CASE 3",IF(AND(N44&lt;=N5,O44&gt;=O5),"CASE 4",FALSE()))))</f>
        <v>CASE 1</v>
      </c>
      <c r="O48">
        <f>ABS(M44-M$5)</f>
        <v>0.28191447199999997</v>
      </c>
      <c r="P48" s="1">
        <v>0.1042188839</v>
      </c>
      <c r="Q48" t="str">
        <f>IF(AND(Q44&lt;=Q5,Q44&gt;=R5),"CASE 2",IF(AND(R44&lt;=Q5,R44&gt;=R5),"CASE 1",IF(AND(Q44&gt;=Q5,R44&lt;=R5),"CASE 3",IF(AND(Q44&lt;=Q5,R44&gt;=R5),"CASE 4",FALSE()))))</f>
        <v>CASE 3</v>
      </c>
      <c r="R48">
        <f>ABS(P44-P$5)</f>
        <v>3.742110700000012E-2</v>
      </c>
      <c r="S48" s="1">
        <v>9.7592243280000004E-2</v>
      </c>
      <c r="T48" t="str">
        <f>IF(AND(T44&lt;=T5,T44&gt;=U5),"CASE 2",IF(AND(U44&lt;=T5,U44&gt;=U5),"CASE 1",IF(AND(T44&gt;=T5,U44&lt;=U5),"CASE 3",IF(AND(T44&lt;=T5,U44&gt;=U5),"CASE 4",FALSE()))))</f>
        <v>CASE 3</v>
      </c>
      <c r="U48">
        <f>ABS(S44-S$5)</f>
        <v>8.2364049999998912E-3</v>
      </c>
      <c r="V48" s="1">
        <v>0.32607690169999998</v>
      </c>
      <c r="W48" t="str">
        <f>IF(AND(W44&lt;=W5,W44&gt;=X5),"CASE 2",IF(AND(X44&lt;=W5,X44&gt;=X5),"CASE 1",IF(AND(W44&gt;=W5,X44&lt;=X5),"CASE 3",IF(AND(W44&lt;=W5,X44&gt;=X5),"CASE 4",FALSE()))))</f>
        <v>CASE 3</v>
      </c>
      <c r="X48">
        <f>ABS(V44-V$5)</f>
        <v>1.8058777000000026E-2</v>
      </c>
      <c r="Y48" s="1">
        <v>0.30991120220000001</v>
      </c>
      <c r="Z48" t="str">
        <f>IF(AND(Z44&lt;=Z5,Z44&gt;=AA5),"CASE 2",IF(AND(AA44&lt;=Z5,AA44&gt;=AA5),"CASE 1",IF(AND(Z44&gt;=Z5,AA44&lt;=AA5),"CASE 3",IF(AND(Z44&lt;=Z5,AA44&gt;=AA5),"CASE 4",FALSE()))))</f>
        <v>CASE 3</v>
      </c>
      <c r="AA48">
        <f>ABS(Y44-Y$5)</f>
        <v>0.14359054400000004</v>
      </c>
      <c r="AB48" s="1">
        <v>0.3136034009</v>
      </c>
      <c r="AC48" t="str">
        <f>IF(AND(AC44&lt;=AC5,AC44&gt;=AD5),"CASE 2",IF(AND(AD44&lt;=AC5,AD44&gt;=AD5),"CASE 1",IF(AND(AC44&gt;=AC5,AD44&lt;=AD5),"CASE 3",IF(AND(AC44&lt;=AC5,AD44&gt;=AD5),"CASE 4",FALSE()))))</f>
        <v>CASE 3</v>
      </c>
      <c r="AD48">
        <f>ABS(AB44-AB$5)</f>
        <v>1.1032900000018664E-4</v>
      </c>
      <c r="AE48" s="1">
        <v>1.551859836</v>
      </c>
      <c r="AF48" t="str">
        <f>IF(AND(AF44&lt;=AF5,AF44&gt;=AG5),"CASE 2",IF(AND(AG44&lt;=AF5,AG44&gt;=AG5),"CASE 1",IF(AND(AF44&gt;=AF5,AG44&lt;=AG5),"CASE 3",IF(AND(AF44&lt;=AF5,AG44&gt;=AG5),"CASE 4",FALSE()))))</f>
        <v>CASE 3</v>
      </c>
      <c r="AG48">
        <f>ABS(AE44-AE$5)</f>
        <v>0.83407878899999988</v>
      </c>
      <c r="AH48" t="s">
        <v>17</v>
      </c>
    </row>
    <row r="49" spans="1:34" x14ac:dyDescent="0.35">
      <c r="B49" t="s">
        <v>16</v>
      </c>
      <c r="C49">
        <f>SUM(C45:C48)</f>
        <v>0.13092572199999952</v>
      </c>
      <c r="E49" t="s">
        <v>16</v>
      </c>
      <c r="F49">
        <f>SUM(F45:F48)</f>
        <v>0.68688735600000062</v>
      </c>
      <c r="H49" t="s">
        <v>16</v>
      </c>
      <c r="I49">
        <f>SUM(I45:I48)</f>
        <v>0.17835931300000119</v>
      </c>
      <c r="K49" t="s">
        <v>16</v>
      </c>
      <c r="L49">
        <f>SUM(L45:L48)</f>
        <v>0.25815621400000066</v>
      </c>
      <c r="N49" t="s">
        <v>16</v>
      </c>
      <c r="O49">
        <f>SUM(O45:O48)</f>
        <v>3.0826420420000011</v>
      </c>
      <c r="Q49" t="s">
        <v>16</v>
      </c>
      <c r="R49">
        <f>SUM(R45:R48)</f>
        <v>0.90784374699999937</v>
      </c>
      <c r="T49" t="s">
        <v>16</v>
      </c>
      <c r="U49">
        <f>SUM(U45:U48)</f>
        <v>0.10929734300000193</v>
      </c>
      <c r="W49" t="s">
        <v>16</v>
      </c>
      <c r="X49">
        <f>SUM(X45:X48)</f>
        <v>0.51851684699999967</v>
      </c>
      <c r="Z49" t="s">
        <v>16</v>
      </c>
      <c r="AA49">
        <f>SUM(AA45:AA48)</f>
        <v>0.8612935739999994</v>
      </c>
      <c r="AC49" t="s">
        <v>16</v>
      </c>
      <c r="AD49">
        <f>SUM(AD45:AD48)</f>
        <v>0.93120457400000034</v>
      </c>
      <c r="AF49" t="s">
        <v>16</v>
      </c>
      <c r="AG49">
        <f>SUM(AG45:AG48)</f>
        <v>17.527489759999998</v>
      </c>
      <c r="AH49">
        <f>SUM(F45:F48,C45:C48,I45:I48,L45:L48,O45:O48,R45:R48,U45:U48,X45:X48,AA45:AA48,AD45:AD48)</f>
        <v>7.6651267320000045</v>
      </c>
    </row>
    <row r="50" spans="1:34" x14ac:dyDescent="0.35">
      <c r="A50" s="1" t="s">
        <v>5</v>
      </c>
    </row>
    <row r="51" spans="1:34" x14ac:dyDescent="0.35">
      <c r="A51" s="1">
        <v>16.396186350000001</v>
      </c>
      <c r="B51">
        <f>A51+A55</f>
        <v>16.41726787188</v>
      </c>
      <c r="C51">
        <f>A51-A55</f>
        <v>16.375104828120001</v>
      </c>
      <c r="D51" s="1">
        <v>15.46635783</v>
      </c>
      <c r="E51">
        <f>D51+D55</f>
        <v>15.662252023699999</v>
      </c>
      <c r="F51">
        <f>D51-D55</f>
        <v>15.270463636300001</v>
      </c>
      <c r="G51" s="1">
        <v>15.90564144</v>
      </c>
      <c r="H51">
        <f>G51+G55</f>
        <v>15.943012930170001</v>
      </c>
      <c r="I51">
        <f>G51-G55</f>
        <v>15.868269949829999</v>
      </c>
      <c r="J51" s="1">
        <v>15.910065830000001</v>
      </c>
      <c r="K51">
        <f>J51+J55</f>
        <v>15.96640264234</v>
      </c>
      <c r="L51">
        <f>J51-J55</f>
        <v>15.853729017660001</v>
      </c>
      <c r="M51" s="1">
        <v>15.81004429</v>
      </c>
      <c r="N51">
        <f>M51+M55</f>
        <v>15.9973187124</v>
      </c>
      <c r="O51">
        <f>M51-M55</f>
        <v>15.622769867600001</v>
      </c>
      <c r="P51" s="1">
        <v>15.73239467</v>
      </c>
      <c r="Q51">
        <f>P51+P55</f>
        <v>15.79543377069</v>
      </c>
      <c r="R51">
        <f>P51-P55</f>
        <v>15.66935556931</v>
      </c>
      <c r="S51" s="1">
        <v>16.09637094</v>
      </c>
      <c r="T51">
        <f>S51+S55</f>
        <v>16.136164096070001</v>
      </c>
      <c r="U51">
        <f>S51-S55</f>
        <v>16.056577783929999</v>
      </c>
      <c r="V51" s="1">
        <v>15.4886055</v>
      </c>
      <c r="W51">
        <f>V51+V55</f>
        <v>15.581267276550001</v>
      </c>
      <c r="X51">
        <f>V51-V55</f>
        <v>15.395943723449999</v>
      </c>
      <c r="Y51" s="1">
        <v>14.82047118</v>
      </c>
      <c r="Z51">
        <f>Y51+Y55</f>
        <v>14.9195654681</v>
      </c>
      <c r="AA51">
        <f>Y51-Y55</f>
        <v>14.7213768919</v>
      </c>
      <c r="AB51" s="1">
        <v>15.01187444</v>
      </c>
      <c r="AC51">
        <f>AB51+AB55</f>
        <v>15.1641525253</v>
      </c>
      <c r="AD51">
        <f>AB51-AB55</f>
        <v>14.859596354699999</v>
      </c>
      <c r="AE51" s="1">
        <v>16.107152459999998</v>
      </c>
      <c r="AF51">
        <f>AE51+AE55</f>
        <v>16.398342526299999</v>
      </c>
      <c r="AG51">
        <f>AE51-AE55</f>
        <v>15.815962393699998</v>
      </c>
    </row>
    <row r="52" spans="1:34" x14ac:dyDescent="0.35">
      <c r="A52" s="1">
        <v>3.8582258079999998</v>
      </c>
      <c r="B52">
        <f>A52+A56</f>
        <v>4.0193839535000002</v>
      </c>
      <c r="C52">
        <f>A52-A56</f>
        <v>3.6970676624999999</v>
      </c>
      <c r="D52" s="1">
        <v>3.5903244609999998</v>
      </c>
      <c r="E52">
        <f>D52+D56</f>
        <v>3.9938416123999998</v>
      </c>
      <c r="F52">
        <f>D52-D56</f>
        <v>3.1868073095999998</v>
      </c>
      <c r="G52" s="1">
        <v>4.2917740640000002</v>
      </c>
      <c r="H52">
        <f>G52+G56</f>
        <v>4.5870752348000003</v>
      </c>
      <c r="I52">
        <f>G52-G56</f>
        <v>3.9964728932</v>
      </c>
      <c r="J52" s="1">
        <v>4.2483703200000003</v>
      </c>
      <c r="K52">
        <f>J52+J56</f>
        <v>4.4730351750000006</v>
      </c>
      <c r="L52">
        <f>J52-J56</f>
        <v>4.0237054649999999</v>
      </c>
      <c r="M52" s="1">
        <v>4.3467073440000004</v>
      </c>
      <c r="N52">
        <f>M52+M56</f>
        <v>5.1364835645000007</v>
      </c>
      <c r="O52">
        <f>M52-M56</f>
        <v>3.5569311235000005</v>
      </c>
      <c r="P52" s="1">
        <v>4.6338319779999999</v>
      </c>
      <c r="Q52">
        <f>P52+P56</f>
        <v>4.8423241067999996</v>
      </c>
      <c r="R52">
        <f>P52-P56</f>
        <v>4.4253398492000002</v>
      </c>
      <c r="S52" s="1">
        <v>3.9853460190000001</v>
      </c>
      <c r="T52">
        <f>S52+S56</f>
        <v>4.2029910423999999</v>
      </c>
      <c r="U52">
        <f>S52-S56</f>
        <v>3.7677009956000003</v>
      </c>
      <c r="V52" s="1">
        <v>4.5680142640000003</v>
      </c>
      <c r="W52">
        <f>V52+V56</f>
        <v>5.3326735565000005</v>
      </c>
      <c r="X52">
        <f>V52-V56</f>
        <v>3.8033549715000001</v>
      </c>
      <c r="Y52" s="1">
        <v>4.6418944599999996</v>
      </c>
      <c r="Z52">
        <f>Y52+Y56</f>
        <v>5.5159915125999994</v>
      </c>
      <c r="AA52">
        <f>Y52-Y56</f>
        <v>3.7677974073999998</v>
      </c>
      <c r="AB52" s="1">
        <v>5.3052151199999997</v>
      </c>
      <c r="AC52">
        <f>AB52+AB56</f>
        <v>5.9073138792000002</v>
      </c>
      <c r="AD52">
        <f>AB52-AB56</f>
        <v>4.7031163607999993</v>
      </c>
      <c r="AE52" s="1">
        <v>20</v>
      </c>
      <c r="AF52">
        <f>AE52+AE56</f>
        <v>22.359560977000001</v>
      </c>
      <c r="AG52">
        <f>AE52-AE56</f>
        <v>17.640439022999999</v>
      </c>
    </row>
    <row r="53" spans="1:34" x14ac:dyDescent="0.35">
      <c r="A53" s="1">
        <v>2.6941472649999998</v>
      </c>
      <c r="B53">
        <f>A53+A57</f>
        <v>2.7842662008199999</v>
      </c>
      <c r="C53">
        <f>A53-A57</f>
        <v>2.6040283291799997</v>
      </c>
      <c r="D53" s="1">
        <v>2.1842413660000002</v>
      </c>
      <c r="E53">
        <f>D53+D57</f>
        <v>2.7488860507000004</v>
      </c>
      <c r="F53">
        <f>D53-D57</f>
        <v>1.6195966813000002</v>
      </c>
      <c r="G53" s="1">
        <v>1.1752987429999999</v>
      </c>
      <c r="H53">
        <f>G53+G57</f>
        <v>1.26037501848</v>
      </c>
      <c r="I53">
        <f>G53-G57</f>
        <v>1.0902224675199998</v>
      </c>
      <c r="J53" s="1">
        <v>2.2649652360000001</v>
      </c>
      <c r="K53">
        <f>J53+J57</f>
        <v>2.4745852130000001</v>
      </c>
      <c r="L53">
        <f>J53-J57</f>
        <v>2.0553452590000001</v>
      </c>
      <c r="M53" s="1">
        <v>3.2064326520000002</v>
      </c>
      <c r="N53">
        <f>M53+M57</f>
        <v>4.2775345329999999</v>
      </c>
      <c r="O53">
        <f>M53-M57</f>
        <v>2.1353307710000005</v>
      </c>
      <c r="P53" s="1">
        <v>2.9531110229999999</v>
      </c>
      <c r="Q53">
        <f>P53+P57</f>
        <v>3.2242056199999998</v>
      </c>
      <c r="R53">
        <f>P53-P57</f>
        <v>2.6820164260000001</v>
      </c>
      <c r="S53" s="1">
        <v>2.0361217859999998</v>
      </c>
      <c r="T53">
        <f>S53+S57</f>
        <v>2.1841428001999996</v>
      </c>
      <c r="U53">
        <f>S53-S57</f>
        <v>1.8881007717999998</v>
      </c>
      <c r="V53" s="1">
        <v>1.6815049500000001</v>
      </c>
      <c r="W53">
        <f>V53+V57</f>
        <v>1.9343544972000002</v>
      </c>
      <c r="X53">
        <f>V53-V57</f>
        <v>1.4286554028</v>
      </c>
      <c r="Y53" s="1">
        <v>1.8449637759999999</v>
      </c>
      <c r="Z53">
        <f>Y53+Y57</f>
        <v>2.2387064620000001</v>
      </c>
      <c r="AA53">
        <f>Y53-Y57</f>
        <v>1.45122109</v>
      </c>
      <c r="AB53" s="1">
        <v>3.2424260970000001</v>
      </c>
      <c r="AC53">
        <f>AB53+AB57</f>
        <v>4.193815334</v>
      </c>
      <c r="AD53">
        <f>AB53-AB57</f>
        <v>2.2910368600000002</v>
      </c>
      <c r="AE53" s="1">
        <v>2.7587534339999999</v>
      </c>
      <c r="AF53">
        <f>AE53+AE57</f>
        <v>3.4720131994000001</v>
      </c>
      <c r="AG53">
        <f>AE53-AE57</f>
        <v>2.0454936685999998</v>
      </c>
    </row>
    <row r="54" spans="1:34" x14ac:dyDescent="0.35">
      <c r="A54" s="1">
        <v>1.945098132</v>
      </c>
      <c r="B54">
        <f>A54+A58</f>
        <v>2.0055133597800001</v>
      </c>
      <c r="C54">
        <f>A54-A58</f>
        <v>1.88468290422</v>
      </c>
      <c r="D54" s="1">
        <v>1.820799828</v>
      </c>
      <c r="E54">
        <f>D54+D58</f>
        <v>1.9991299259999999</v>
      </c>
      <c r="F54">
        <f>D54-D58</f>
        <v>1.64246973</v>
      </c>
      <c r="G54" s="1">
        <v>1.9666092690000001</v>
      </c>
      <c r="H54">
        <f>G54+G58</f>
        <v>2.1375295698999999</v>
      </c>
      <c r="I54">
        <f>G54-G58</f>
        <v>1.7956889681000001</v>
      </c>
      <c r="J54" s="1">
        <v>1.9065103379999999</v>
      </c>
      <c r="K54">
        <f>J54+J58</f>
        <v>1.9980849198099999</v>
      </c>
      <c r="L54">
        <f>J54-J58</f>
        <v>1.8149357561899999</v>
      </c>
      <c r="M54" s="1">
        <v>2.2835018630000001</v>
      </c>
      <c r="N54">
        <f>M54+M58</f>
        <v>2.5875297434000002</v>
      </c>
      <c r="O54">
        <f>M54-M58</f>
        <v>1.9794739826000001</v>
      </c>
      <c r="P54" s="1">
        <v>2.097764969</v>
      </c>
      <c r="Q54">
        <f>P54+P58</f>
        <v>2.2019838528999998</v>
      </c>
      <c r="R54">
        <f>P54-P58</f>
        <v>1.9935460851</v>
      </c>
      <c r="S54" s="1">
        <v>1.6573758089999999</v>
      </c>
      <c r="T54">
        <f>S54+S58</f>
        <v>1.75496805228</v>
      </c>
      <c r="U54">
        <f>S54-S58</f>
        <v>1.5597835657199999</v>
      </c>
      <c r="V54" s="1">
        <v>1.99659586</v>
      </c>
      <c r="W54">
        <f>V54+V58</f>
        <v>2.3226727616999998</v>
      </c>
      <c r="X54">
        <f>V54-V58</f>
        <v>1.6705189583</v>
      </c>
      <c r="Y54" s="1">
        <v>1.908144955</v>
      </c>
      <c r="Z54">
        <f>Y54+Y58</f>
        <v>2.2180561571999999</v>
      </c>
      <c r="AA54">
        <f>Y54-Y58</f>
        <v>1.5982337528000001</v>
      </c>
      <c r="AB54" s="1">
        <v>1.7164365049999999</v>
      </c>
      <c r="AC54">
        <f>AB54+AB58</f>
        <v>2.0300399058999998</v>
      </c>
      <c r="AD54">
        <f>AB54-AB58</f>
        <v>1.4028331041</v>
      </c>
      <c r="AE54" s="1">
        <v>2.3514337539999999</v>
      </c>
      <c r="AF54">
        <f>AE54+AE58</f>
        <v>3.9032935899999996</v>
      </c>
      <c r="AG54">
        <f>AE54-AE58</f>
        <v>0.79957391799999988</v>
      </c>
    </row>
    <row r="55" spans="1:34" x14ac:dyDescent="0.35">
      <c r="A55" s="1">
        <v>2.1081521879999999E-2</v>
      </c>
      <c r="B55" t="str">
        <f>IF(AND(B51&lt;=B2,B51&gt;=C2),"CASE 2",IF(AND(C51&lt;=B2,C51&gt;=C2),"CASE 1",IF(AND(B51&gt;=B2,C51&lt;=C2),"CASE 3",IF(AND(B51&lt;=B2,C51&gt;=C2),"CASE 4",FALSE()))))</f>
        <v>CASE 2</v>
      </c>
      <c r="C55">
        <f>ABS(A51-A$2)</f>
        <v>2.1728039999999282E-2</v>
      </c>
      <c r="D55" s="1">
        <v>0.1958941937</v>
      </c>
      <c r="E55" t="str">
        <f>IF(AND(E51&lt;=E2,E51&gt;=F2),"CASE 2",IF(AND(F51&lt;=E2,F51&gt;=F2),"CASE 1",IF(AND(E51&gt;=E2,F51&lt;=F2),"CASE 3",IF(AND(E51&lt;=E2,F51&gt;=F2),"CASE 4",FALSE()))))</f>
        <v>CASE 2</v>
      </c>
      <c r="F55">
        <f>ABS(D51-D$2)</f>
        <v>0.13180935000000105</v>
      </c>
      <c r="G55" s="1">
        <v>3.737149017E-2</v>
      </c>
      <c r="H55" t="str">
        <f>IF(AND(H51&lt;=H2,H51&gt;=I2),"CASE 2",IF(AND(I51&lt;=H2,I51&gt;=I2),"CASE 1",IF(AND(H51&gt;=H2,I51&lt;=I2),"CASE 3",IF(AND(H51&lt;=H2,I51&gt;=I2),"CASE 4",FALSE()))))</f>
        <v>CASE 3</v>
      </c>
      <c r="I55">
        <f>ABS(G51-G$2)</f>
        <v>5.9648800000005053E-3</v>
      </c>
      <c r="J55" s="1">
        <v>5.633681234E-2</v>
      </c>
      <c r="K55" t="str">
        <f>IF(AND(K51&lt;=K2,K51&gt;=L2),"CASE 2",IF(AND(L51&lt;=K2,L51&gt;=L2),"CASE 1",IF(AND(K51&gt;=K2,L51&lt;=L2),"CASE 3",IF(AND(K51&lt;=K2,L51&gt;=L2),"CASE 4",FALSE()))))</f>
        <v>CASE 1</v>
      </c>
      <c r="L55">
        <f>ABS(J51-J$2)</f>
        <v>3.9661770000000374E-2</v>
      </c>
      <c r="M55" s="1">
        <v>0.1872744224</v>
      </c>
      <c r="N55" t="b">
        <f>IF(AND(N51&lt;=N2,N51&gt;=O2),"CASE 2",IF(AND(O51&lt;=N2,O51&gt;=O2),"CASE 1",IF(AND(N51&gt;=N2,O51&lt;=O2),"CASE 3",IF(AND(N51&lt;=N2,O51&gt;=O2),"CASE 4",FALSE()))))</f>
        <v>0</v>
      </c>
      <c r="O55">
        <f>ABS(M51-M$2)</f>
        <v>0.25767100000000021</v>
      </c>
      <c r="P55" s="1">
        <v>6.3039100690000002E-2</v>
      </c>
      <c r="Q55" t="b">
        <f>IF(AND(Q51&lt;=Q2,Q51&gt;=R2),"CASE 2",IF(AND(R51&lt;=Q2,R51&gt;=R2),"CASE 1",IF(AND(Q51&gt;=Q2,R51&lt;=R2),"CASE 3",IF(AND(Q51&lt;=Q2,R51&gt;=R2),"CASE 4",FALSE()))))</f>
        <v>0</v>
      </c>
      <c r="R55">
        <f>ABS(P51-P$2)</f>
        <v>0.13928693999999986</v>
      </c>
      <c r="S55" s="1">
        <v>3.9793156070000002E-2</v>
      </c>
      <c r="T55" t="str">
        <f>IF(AND(T51&lt;=T2,T51&gt;=U2),"CASE 2",IF(AND(U51&lt;=T2,U51&gt;=U2),"CASE 1",IF(AND(T51&gt;=T2,U51&lt;=U2),"CASE 3",IF(AND(T51&lt;=T2,U51&gt;=U2),"CASE 4",FALSE()))))</f>
        <v>CASE 3</v>
      </c>
      <c r="U55">
        <f>ABS(S51-S$2)</f>
        <v>1.2860410000001821E-2</v>
      </c>
      <c r="V55" s="1">
        <v>9.2661776550000005E-2</v>
      </c>
      <c r="W55" t="str">
        <f>IF(AND(W51&lt;=W2,W51&gt;=X2),"CASE 2",IF(AND(X51&lt;=W2,X51&gt;=X2),"CASE 1",IF(AND(W51&gt;=W2,X51&lt;=X2),"CASE 3",IF(AND(W51&lt;=W2,X51&gt;=X2),"CASE 4",FALSE()))))</f>
        <v>CASE 1</v>
      </c>
      <c r="X55">
        <f>ABS(V51-V$2)</f>
        <v>6.5313339999999442E-2</v>
      </c>
      <c r="Y55" s="1">
        <v>9.9094288099999997E-2</v>
      </c>
      <c r="Z55" t="str">
        <f>IF(AND(Z51&lt;=Z2,Z51&gt;=AA2),"CASE 2",IF(AND(AA51&lt;=Z2,AA51&gt;=AA2),"CASE 1",IF(AND(Z51&gt;=Z2,AA51&lt;=AA2),"CASE 3",IF(AND(Z51&lt;=Z2,AA51&gt;=AA2),"CASE 4",FALSE()))))</f>
        <v>CASE 3</v>
      </c>
      <c r="AA55">
        <f>ABS(Y51-Y$2)</f>
        <v>3.1362670000000037E-2</v>
      </c>
      <c r="AB55" s="1">
        <v>0.1522780853</v>
      </c>
      <c r="AC55" t="str">
        <f>IF(AND(AC51&lt;=AC2,AC51&gt;=AD2),"CASE 2",IF(AND(AD51&lt;=AC2,AD51&gt;=AD2),"CASE 1",IF(AND(AC51&gt;=AC2,AD51&lt;=AD2),"CASE 3",IF(AND(AC51&lt;=AC2,AD51&gt;=AD2),"CASE 4",FALSE()))))</f>
        <v>CASE 1</v>
      </c>
      <c r="AD55">
        <f>ABS(AB51-AB$2)</f>
        <v>5.6386350000000363E-2</v>
      </c>
      <c r="AE55" s="1">
        <v>0.29119006629999999</v>
      </c>
      <c r="AF55" t="b">
        <f>IF(AND(AF51&lt;=AF2,AF51&gt;=AG2),"CASE 2",IF(AND(AG51&lt;=AF2,AG51&gt;=AG2),"CASE 1",IF(AND(AF51&gt;=AF2,AG51&lt;=AG2),"CASE 3",IF(AND(AF51&lt;=AF2,AG51&gt;=AG2),"CASE 4",FALSE()))))</f>
        <v>0</v>
      </c>
      <c r="AG55">
        <f>ABS(AE51-AE$2)</f>
        <v>0.95350801999999746</v>
      </c>
    </row>
    <row r="56" spans="1:34" x14ac:dyDescent="0.35">
      <c r="A56" s="1">
        <v>0.16115814549999999</v>
      </c>
      <c r="B56" t="str">
        <f>IF(AND(B52&lt;=B3,B52&gt;=C3),"CASE 2",IF(AND(C52&lt;=B3,C52&gt;=C3),"CASE 1",IF(AND(B52&gt;=B3,C52&lt;=C3),"CASE 3",IF(AND(B52&lt;=B3,C52&gt;=C3),"CASE 4",FALSE()))))</f>
        <v>CASE 2</v>
      </c>
      <c r="C56">
        <f>ABS(A52-A$3)</f>
        <v>8.1731095000000309E-2</v>
      </c>
      <c r="D56" s="1">
        <v>0.4035171514</v>
      </c>
      <c r="E56" t="str">
        <f>IF(AND(E52&lt;=E3,E52&gt;=F3),"CASE 2",IF(AND(F52&lt;=E3,F52&gt;=F3),"CASE 1",IF(AND(E52&gt;=E3,F52&lt;=F3),"CASE 3",IF(AND(E52&lt;=E3,F52&gt;=F3),"CASE 4",FALSE()))))</f>
        <v>CASE 3</v>
      </c>
      <c r="F56">
        <f>ABS(D52-D$3)</f>
        <v>0.13109290599999968</v>
      </c>
      <c r="G56" s="1">
        <v>0.29530117080000001</v>
      </c>
      <c r="H56" t="str">
        <f>IF(AND(H52&lt;=H3,H52&gt;=I3),"CASE 2",IF(AND(I52&lt;=H3,I52&gt;=I3),"CASE 1",IF(AND(H52&gt;=H3,I52&lt;=I3),"CASE 3",IF(AND(H52&lt;=H3,I52&gt;=I3),"CASE 4",FALSE()))))</f>
        <v>CASE 3</v>
      </c>
      <c r="I56">
        <f>ABS(G52-G$3)</f>
        <v>9.4999698000000521E-2</v>
      </c>
      <c r="J56" s="1">
        <v>0.224664855</v>
      </c>
      <c r="K56" t="str">
        <f>IF(AND(K52&lt;=K3,K52&gt;=L3),"CASE 2",IF(AND(L52&lt;=K3,L52&gt;=L3),"CASE 1",IF(AND(K52&gt;=K3,L52&lt;=L3),"CASE 3",IF(AND(K52&lt;=K3,L52&gt;=L3),"CASE 4",FALSE()))))</f>
        <v>CASE 3</v>
      </c>
      <c r="L56">
        <f>ABS(J52-J$3)</f>
        <v>2.8729827000000263E-2</v>
      </c>
      <c r="M56" s="1">
        <v>0.78977622049999996</v>
      </c>
      <c r="N56" t="b">
        <f>IF(AND(N52&lt;=N3,N52&gt;=O3),"CASE 2",IF(AND(O52&lt;=N3,O52&gt;=O3),"CASE 1",IF(AND(N52&gt;=N3,O52&lt;=O3),"CASE 3",IF(AND(N52&lt;=N3,O52&gt;=O3),"CASE 4",FALSE()))))</f>
        <v>0</v>
      </c>
      <c r="O56">
        <f>ABS(M52-M$3)</f>
        <v>1.3234624710000005</v>
      </c>
      <c r="P56" s="1">
        <v>0.20849212880000001</v>
      </c>
      <c r="Q56" t="str">
        <f>IF(AND(Q52&lt;=Q3,Q52&gt;=R3),"CASE 2",IF(AND(R52&lt;=Q3,R52&gt;=R3),"CASE 1",IF(AND(Q52&gt;=Q3,R52&lt;=R3),"CASE 3",IF(AND(Q52&lt;=Q3,R52&gt;=R3),"CASE 4",FALSE()))))</f>
        <v>CASE 1</v>
      </c>
      <c r="R56">
        <f>ABS(P52-P$3)</f>
        <v>0.26357722299999953</v>
      </c>
      <c r="S56" s="1">
        <v>0.2176450234</v>
      </c>
      <c r="T56" t="str">
        <f>IF(AND(T52&lt;=T3,T52&gt;=U3),"CASE 2",IF(AND(U52&lt;=T3,U52&gt;=U3),"CASE 1",IF(AND(T52&gt;=T3,U52&lt;=U3),"CASE 3",IF(AND(T52&lt;=T3,U52&gt;=U3),"CASE 4",FALSE()))))</f>
        <v>CASE 3</v>
      </c>
      <c r="U56">
        <f>ABS(S52-S$3)</f>
        <v>6.0070872000000275E-2</v>
      </c>
      <c r="V56" s="1">
        <v>0.76465929249999998</v>
      </c>
      <c r="W56" t="str">
        <f>IF(AND(W52&lt;=W3,W52&gt;=X3),"CASE 2",IF(AND(X52&lt;=W3,X52&gt;=X3),"CASE 1",IF(AND(W52&gt;=W3,X52&lt;=X3),"CASE 3",IF(AND(W52&lt;=W3,X52&gt;=X3),"CASE 4",FALSE()))))</f>
        <v>CASE 3</v>
      </c>
      <c r="X56">
        <f>ABS(V52-V$3)</f>
        <v>0.19009366600000011</v>
      </c>
      <c r="Y56" s="1">
        <v>0.87409705260000004</v>
      </c>
      <c r="Z56" t="str">
        <f>IF(AND(Z52&lt;=Z3,Z52&gt;=AA3),"CASE 2",IF(AND(AA52&lt;=Z3,AA52&gt;=AA3),"CASE 1",IF(AND(Z52&gt;=Z3,AA52&lt;=AA3),"CASE 3",IF(AND(Z52&lt;=Z3,AA52&gt;=AA3),"CASE 4",FALSE()))))</f>
        <v>CASE 1</v>
      </c>
      <c r="AA56">
        <f>ABS(Y52-Y$3)</f>
        <v>0.60038013799999934</v>
      </c>
      <c r="AB56" s="1">
        <v>0.6020987592</v>
      </c>
      <c r="AC56" t="str">
        <f>IF(AND(AC52&lt;=AC3,AC52&gt;=AD3),"CASE 2",IF(AND(AD52&lt;=AC3,AD52&gt;=AD3),"CASE 1",IF(AND(AC52&gt;=AC3,AD52&lt;=AD3),"CASE 3",IF(AND(AC52&lt;=AC3,AD52&gt;=AD3),"CASE 4",FALSE()))))</f>
        <v>CASE 1</v>
      </c>
      <c r="AD56">
        <f>ABS(AB52-AB$3)</f>
        <v>0.84696763699999966</v>
      </c>
      <c r="AE56" s="1">
        <v>2.3595609770000001</v>
      </c>
      <c r="AF56" t="b">
        <f>IF(AND(AF52&lt;=AF3,AF52&gt;=AG3),"CASE 2",IF(AND(AG52&lt;=AF3,AG52&gt;=AG3),"CASE 1",IF(AND(AF52&gt;=AF3,AG52&lt;=AG3),"CASE 3",IF(AND(AF52&lt;=AF3,AG52&gt;=AG3),"CASE 4",FALSE()))))</f>
        <v>0</v>
      </c>
      <c r="AG56">
        <f>ABS(AE52-AE$3)</f>
        <v>14.742439032</v>
      </c>
    </row>
    <row r="57" spans="1:34" x14ac:dyDescent="0.35">
      <c r="A57" s="1">
        <v>9.0118935819999996E-2</v>
      </c>
      <c r="B57" t="str">
        <f>IF(AND(B53&lt;=B4,B53&gt;=C4),"CASE 2",IF(AND(C53&lt;=B4,C53&gt;=C4),"CASE 1",IF(AND(B53&gt;=B4,C53&lt;=C4),"CASE 3",IF(AND(B53&lt;=B4,C53&gt;=C4),"CASE 4",FALSE()))))</f>
        <v>CASE 3</v>
      </c>
      <c r="C57">
        <f>ABS(A53-A$4)</f>
        <v>1.2098869999999984E-2</v>
      </c>
      <c r="D57" s="1">
        <v>0.56464468469999995</v>
      </c>
      <c r="E57" t="str">
        <f>IF(AND(E53&lt;=E4,E53&gt;=F4),"CASE 2",IF(AND(F53&lt;=E4,F53&gt;=F4),"CASE 1",IF(AND(E53&gt;=E4,F53&lt;=F4),"CASE 3",IF(AND(E53&lt;=E4,F53&gt;=F4),"CASE 4",FALSE()))))</f>
        <v>CASE 2</v>
      </c>
      <c r="F57">
        <f>ABS(D53-D$4)</f>
        <v>0.38857779599999986</v>
      </c>
      <c r="G57" s="1">
        <v>8.5076275480000005E-2</v>
      </c>
      <c r="H57" t="str">
        <f>IF(AND(H53&lt;=H4,H53&gt;=I4),"CASE 2",IF(AND(I53&lt;=H4,I53&gt;=I4),"CASE 1",IF(AND(H53&gt;=H4,I53&lt;=I4),"CASE 3",IF(AND(H53&lt;=H4,I53&gt;=I4),"CASE 4",FALSE()))))</f>
        <v>CASE 1</v>
      </c>
      <c r="I57">
        <f>ABS(G53-G$4)</f>
        <v>6.4082007999999968E-2</v>
      </c>
      <c r="J57" s="1">
        <v>0.20961997700000001</v>
      </c>
      <c r="K57" t="str">
        <f>IF(AND(K53&lt;=K4,K53&gt;=L4),"CASE 2",IF(AND(L53&lt;=K4,L53&gt;=L4),"CASE 1",IF(AND(K53&gt;=K4,L53&lt;=L4),"CASE 3",IF(AND(K53&lt;=K4,L53&gt;=L4),"CASE 4",FALSE()))))</f>
        <v>CASE 1</v>
      </c>
      <c r="L57">
        <f>ABS(J53-J$4)</f>
        <v>0.18269751799999989</v>
      </c>
      <c r="M57" s="1">
        <v>1.0711018809999999</v>
      </c>
      <c r="N57" t="str">
        <f>IF(AND(N53&lt;=N4,N53&gt;=O4),"CASE 2",IF(AND(O53&lt;=N4,O53&gt;=O4),"CASE 1",IF(AND(N53&gt;=N4,O53&lt;=O4),"CASE 3",IF(AND(N53&lt;=N4,O53&gt;=O4),"CASE 4",FALSE()))))</f>
        <v>CASE 1</v>
      </c>
      <c r="O57">
        <f>ABS(M53-M$4)</f>
        <v>1.2195940990000003</v>
      </c>
      <c r="P57" s="1">
        <v>0.27109459699999999</v>
      </c>
      <c r="Q57" t="b">
        <f>IF(AND(Q53&lt;=Q4,Q53&gt;=R4),"CASE 2",IF(AND(R53&lt;=Q4,R53&gt;=R4),"CASE 1",IF(AND(Q53&gt;=Q4,R53&lt;=R4),"CASE 3",IF(AND(Q53&lt;=Q4,R53&gt;=R4),"CASE 4",FALSE()))))</f>
        <v>0</v>
      </c>
      <c r="R57">
        <f>ABS(P53-P$4)</f>
        <v>0.46755847699999986</v>
      </c>
      <c r="S57" s="1">
        <v>0.1480210142</v>
      </c>
      <c r="T57" t="str">
        <f>IF(AND(T53&lt;=T4,T53&gt;=U4),"CASE 2",IF(AND(U53&lt;=T4,U53&gt;=U4),"CASE 1",IF(AND(T53&gt;=T4,U53&lt;=U4),"CASE 3",IF(AND(T53&lt;=T4,U53&gt;=U4),"CASE 4",FALSE()))))</f>
        <v>CASE 3</v>
      </c>
      <c r="U57">
        <f>ABS(S53-S$4)</f>
        <v>2.8129655999999947E-2</v>
      </c>
      <c r="V57" s="1">
        <v>0.25284954720000002</v>
      </c>
      <c r="W57" t="str">
        <f>IF(AND(W53&lt;=W4,W53&gt;=X4),"CASE 2",IF(AND(X53&lt;=W4,X53&gt;=X4),"CASE 1",IF(AND(W53&gt;=W4,X53&lt;=X4),"CASE 3",IF(AND(W53&lt;=W4,X53&gt;=X4),"CASE 4",FALSE()))))</f>
        <v>CASE 1</v>
      </c>
      <c r="X57">
        <f>ABS(V53-V$4)</f>
        <v>0.2450510640000001</v>
      </c>
      <c r="Y57" s="1">
        <v>0.39374268600000001</v>
      </c>
      <c r="Z57" t="str">
        <f>IF(AND(Z53&lt;=Z4,Z53&gt;=AA4),"CASE 2",IF(AND(AA53&lt;=Z4,AA53&gt;=AA4),"CASE 1",IF(AND(Z53&gt;=Z4,AA53&lt;=AA4),"CASE 3",IF(AND(Z53&lt;=Z4,AA53&gt;=AA4),"CASE 4",FALSE()))))</f>
        <v>CASE 3</v>
      </c>
      <c r="AA57">
        <f>ABS(Y53-Y$4)</f>
        <v>8.5960221999999975E-2</v>
      </c>
      <c r="AB57" s="1">
        <v>0.951389237</v>
      </c>
      <c r="AC57" t="str">
        <f>IF(AND(AC53&lt;=AC4,AC53&gt;=AD4),"CASE 2",IF(AND(AD53&lt;=AC4,AD53&gt;=AD4),"CASE 1",IF(AND(AC53&gt;=AC4,AD53&lt;=AD4),"CASE 3",IF(AND(AC53&lt;=AC4,AD53&gt;=AD4),"CASE 4",FALSE()))))</f>
        <v>CASE 3</v>
      </c>
      <c r="AD57">
        <f>ABS(AB53-AB$4)</f>
        <v>2.7740258000000129E-2</v>
      </c>
      <c r="AE57" s="1">
        <v>0.71325976540000002</v>
      </c>
      <c r="AF57" t="str">
        <f>IF(AND(AF53&lt;=AF4,AF53&gt;=AG4),"CASE 2",IF(AND(AG53&lt;=AF4,AG53&gt;=AG4),"CASE 1",IF(AND(AF53&gt;=AF4,AG53&lt;=AG4),"CASE 3",IF(AND(AF53&lt;=AF4,AG53&gt;=AG4),"CASE 4",FALSE()))))</f>
        <v>CASE 1</v>
      </c>
      <c r="AG57">
        <f>ABS(AE53-AE$4)</f>
        <v>0.99746391899999987</v>
      </c>
    </row>
    <row r="58" spans="1:34" x14ac:dyDescent="0.35">
      <c r="A58" s="1">
        <v>6.0415227779999997E-2</v>
      </c>
      <c r="B58" t="str">
        <f>IF(AND(B54&lt;=B5,B54&gt;=C5),"CASE 2",IF(AND(C54&lt;=B5,C54&gt;=C5),"CASE 1",IF(AND(B54&gt;=B5,C54&lt;=C5),"CASE 3",IF(AND(B54&lt;=B5,C54&gt;=C5),"CASE 4",FALSE()))))</f>
        <v>CASE 3</v>
      </c>
      <c r="C58">
        <f>ABS(A54-A$5)</f>
        <v>1.5367716999999947E-2</v>
      </c>
      <c r="D58" s="1">
        <v>0.17833009799999999</v>
      </c>
      <c r="E58" t="str">
        <f>IF(AND(E54&lt;=E5,E54&gt;=F5),"CASE 2",IF(AND(F54&lt;=E5,F54&gt;=F5),"CASE 1",IF(AND(E54&gt;=E5,F54&lt;=F5),"CASE 3",IF(AND(E54&lt;=E5,F54&gt;=F5),"CASE 4",FALSE()))))</f>
        <v>CASE 3</v>
      </c>
      <c r="F58">
        <f>ABS(D54-D$5)</f>
        <v>3.5407304000000028E-2</v>
      </c>
      <c r="G58" s="1">
        <v>0.17092030089999999</v>
      </c>
      <c r="H58" t="str">
        <f>IF(AND(H54&lt;=H5,H54&gt;=I5),"CASE 2",IF(AND(I54&lt;=H5,I54&gt;=I5),"CASE 1",IF(AND(H54&gt;=H5,I54&lt;=I5),"CASE 3",IF(AND(H54&lt;=H5,I54&gt;=I5),"CASE 4",FALSE()))))</f>
        <v>CASE 3</v>
      </c>
      <c r="I58">
        <f>ABS(G54-G$5)</f>
        <v>1.3312727000000191E-2</v>
      </c>
      <c r="J58" s="1">
        <v>9.157458181E-2</v>
      </c>
      <c r="K58" t="str">
        <f>IF(AND(K54&lt;=K5,K54&gt;=L5),"CASE 2",IF(AND(L54&lt;=K5,L54&gt;=L5),"CASE 1",IF(AND(K54&gt;=K5,L54&lt;=L5),"CASE 3",IF(AND(K54&lt;=K5,L54&gt;=L5),"CASE 4",FALSE()))))</f>
        <v>CASE 3</v>
      </c>
      <c r="L58">
        <f>ABS(J54-J$5)</f>
        <v>7.0670990000001321E-3</v>
      </c>
      <c r="M58" s="1">
        <v>0.30402788040000001</v>
      </c>
      <c r="N58" t="str">
        <f>IF(AND(N54&lt;=N5,N54&gt;=O5),"CASE 2",IF(AND(O54&lt;=N5,O54&gt;=O5),"CASE 1",IF(AND(N54&gt;=N5,O54&lt;=O5),"CASE 3",IF(AND(N54&lt;=N5,O54&gt;=O5),"CASE 4",FALSE()))))</f>
        <v>CASE 1</v>
      </c>
      <c r="O58">
        <f>ABS(M54-M$5)</f>
        <v>0.28191447199999997</v>
      </c>
      <c r="P58" s="1">
        <v>0.1042188839</v>
      </c>
      <c r="Q58" t="str">
        <f>IF(AND(Q54&lt;=Q5,Q54&gt;=R5),"CASE 2",IF(AND(R54&lt;=Q5,R54&gt;=R5),"CASE 1",IF(AND(Q54&gt;=Q5,R54&lt;=R5),"CASE 3",IF(AND(Q54&lt;=Q5,R54&gt;=R5),"CASE 4",FALSE()))))</f>
        <v>CASE 3</v>
      </c>
      <c r="R58">
        <f>ABS(P54-P$5)</f>
        <v>3.742110700000012E-2</v>
      </c>
      <c r="S58" s="1">
        <v>9.7592243280000004E-2</v>
      </c>
      <c r="T58" t="str">
        <f>IF(AND(T54&lt;=T5,T54&gt;=U5),"CASE 2",IF(AND(U54&lt;=T5,U54&gt;=U5),"CASE 1",IF(AND(T54&gt;=T5,U54&lt;=U5),"CASE 3",IF(AND(T54&lt;=T5,U54&gt;=U5),"CASE 4",FALSE()))))</f>
        <v>CASE 3</v>
      </c>
      <c r="U58">
        <f>ABS(S54-S$5)</f>
        <v>8.2364049999998912E-3</v>
      </c>
      <c r="V58" s="1">
        <v>0.32607690169999998</v>
      </c>
      <c r="W58" t="str">
        <f>IF(AND(W54&lt;=W5,W54&gt;=X5),"CASE 2",IF(AND(X54&lt;=W5,X54&gt;=X5),"CASE 1",IF(AND(W54&gt;=W5,X54&lt;=X5),"CASE 3",IF(AND(W54&lt;=W5,X54&gt;=X5),"CASE 4",FALSE()))))</f>
        <v>CASE 3</v>
      </c>
      <c r="X58">
        <f>ABS(V54-V$5)</f>
        <v>1.8058777000000026E-2</v>
      </c>
      <c r="Y58" s="1">
        <v>0.30991120220000001</v>
      </c>
      <c r="Z58" t="str">
        <f>IF(AND(Z54&lt;=Z5,Z54&gt;=AA5),"CASE 2",IF(AND(AA54&lt;=Z5,AA54&gt;=AA5),"CASE 1",IF(AND(Z54&gt;=Z5,AA54&lt;=AA5),"CASE 3",IF(AND(Z54&lt;=Z5,AA54&gt;=AA5),"CASE 4",FALSE()))))</f>
        <v>CASE 3</v>
      </c>
      <c r="AA58">
        <f>ABS(Y54-Y$5)</f>
        <v>0.14359054400000004</v>
      </c>
      <c r="AB58" s="1">
        <v>0.3136034009</v>
      </c>
      <c r="AC58" t="str">
        <f>IF(AND(AC54&lt;=AC5,AC54&gt;=AD5),"CASE 2",IF(AND(AD54&lt;=AC5,AD54&gt;=AD5),"CASE 1",IF(AND(AC54&gt;=AC5,AD54&lt;=AD5),"CASE 3",IF(AND(AC54&lt;=AC5,AD54&gt;=AD5),"CASE 4",FALSE()))))</f>
        <v>CASE 3</v>
      </c>
      <c r="AD58">
        <f>ABS(AB54-AB$5)</f>
        <v>1.1032900000018664E-4</v>
      </c>
      <c r="AE58" s="1">
        <v>1.551859836</v>
      </c>
      <c r="AF58" t="str">
        <f>IF(AND(AF54&lt;=AF5,AF54&gt;=AG5),"CASE 2",IF(AND(AG54&lt;=AF5,AG54&gt;=AG5),"CASE 1",IF(AND(AF54&gt;=AF5,AG54&lt;=AG5),"CASE 3",IF(AND(AF54&lt;=AF5,AG54&gt;=AG5),"CASE 4",FALSE()))))</f>
        <v>CASE 3</v>
      </c>
      <c r="AG58">
        <f>ABS(AE54-AE$5)</f>
        <v>0.83407878899999988</v>
      </c>
      <c r="AH58" t="s">
        <v>17</v>
      </c>
    </row>
    <row r="59" spans="1:34" x14ac:dyDescent="0.35">
      <c r="B59" t="s">
        <v>16</v>
      </c>
      <c r="C59">
        <f>SUM(C55:C58)</f>
        <v>0.13092572199999952</v>
      </c>
      <c r="E59" t="s">
        <v>16</v>
      </c>
      <c r="F59">
        <f>SUM(F55:F58)</f>
        <v>0.68688735600000062</v>
      </c>
      <c r="H59" t="s">
        <v>16</v>
      </c>
      <c r="I59">
        <f>SUM(I55:I58)</f>
        <v>0.17835931300000119</v>
      </c>
      <c r="K59" t="s">
        <v>16</v>
      </c>
      <c r="L59">
        <f>SUM(L55:L58)</f>
        <v>0.25815621400000066</v>
      </c>
      <c r="N59" t="s">
        <v>16</v>
      </c>
      <c r="O59">
        <f>SUM(O55:O58)</f>
        <v>3.0826420420000011</v>
      </c>
      <c r="Q59" t="s">
        <v>16</v>
      </c>
      <c r="R59">
        <f>SUM(R55:R58)</f>
        <v>0.90784374699999937</v>
      </c>
      <c r="T59" t="s">
        <v>16</v>
      </c>
      <c r="U59">
        <f>SUM(U55:U58)</f>
        <v>0.10929734300000193</v>
      </c>
      <c r="W59" t="s">
        <v>16</v>
      </c>
      <c r="X59">
        <f>SUM(X55:X58)</f>
        <v>0.51851684699999967</v>
      </c>
      <c r="Z59" t="s">
        <v>16</v>
      </c>
      <c r="AA59">
        <f>SUM(AA55:AA58)</f>
        <v>0.8612935739999994</v>
      </c>
      <c r="AC59" t="s">
        <v>16</v>
      </c>
      <c r="AD59">
        <f>SUM(AD55:AD58)</f>
        <v>0.93120457400000034</v>
      </c>
      <c r="AF59" t="s">
        <v>16</v>
      </c>
      <c r="AG59">
        <f>SUM(AG55:AG58)</f>
        <v>17.527489759999998</v>
      </c>
      <c r="AH59">
        <f>SUM(F55:F58,C55:C58,I55:I58,L55:L58,O55:O58,R55:R58,U55:U58,X55:X58,AA55:AA58,AD55:AD58)</f>
        <v>7.6651267320000045</v>
      </c>
    </row>
    <row r="60" spans="1:34" x14ac:dyDescent="0.35">
      <c r="A60" s="1">
        <f>A51/A55</f>
        <v>777.75155149282807</v>
      </c>
      <c r="D60" s="1">
        <f>D51/D55</f>
        <v>78.952609762828317</v>
      </c>
      <c r="G60" s="1">
        <f>G51/G55</f>
        <v>425.608970036958</v>
      </c>
      <c r="J60" s="1">
        <f>J51/J55</f>
        <v>282.40976315771439</v>
      </c>
      <c r="M60" s="1">
        <f>M51/M55</f>
        <v>84.421802440438341</v>
      </c>
      <c r="P60" s="1">
        <f>P51/P55</f>
        <v>249.56565842151451</v>
      </c>
      <c r="S60" s="1">
        <f>S51/S55</f>
        <v>404.50098785039643</v>
      </c>
      <c r="V60" s="1">
        <f>V51/V55</f>
        <v>167.15204560795786</v>
      </c>
      <c r="Y60" s="1">
        <f>Y51/Y55</f>
        <v>149.55928806960168</v>
      </c>
      <c r="AB60" s="1">
        <f>AB51/AB55</f>
        <v>98.581975275203959</v>
      </c>
      <c r="AE60" s="1">
        <f>AE51/AE55</f>
        <v>55.314910514170926</v>
      </c>
    </row>
    <row r="61" spans="1:34" x14ac:dyDescent="0.35">
      <c r="A61" s="1">
        <f>A52/A56</f>
        <v>23.940619296838459</v>
      </c>
      <c r="D61" s="1">
        <f>D52/D56</f>
        <v>8.8975758491142045</v>
      </c>
      <c r="G61" s="1">
        <f>G52/G56</f>
        <v>14.533549096243542</v>
      </c>
      <c r="J61" s="1">
        <f>J52/J56</f>
        <v>18.909812662955229</v>
      </c>
      <c r="M61" s="1">
        <f>M52/M56</f>
        <v>5.5037202072862366</v>
      </c>
      <c r="P61" s="1">
        <f>P52/P56</f>
        <v>22.225452848846349</v>
      </c>
      <c r="S61" s="1">
        <f>S52/S56</f>
        <v>18.311220522031014</v>
      </c>
      <c r="V61" s="1">
        <f>V52/V56</f>
        <v>5.9739210767519708</v>
      </c>
      <c r="Y61" s="1">
        <f>Y52/Y56</f>
        <v>5.3105023591976348</v>
      </c>
      <c r="AB61" s="1">
        <f>AB52/AB56</f>
        <v>8.8112042068463374</v>
      </c>
      <c r="AE61" s="1">
        <f>AE52/AE56</f>
        <v>8.476153061926146</v>
      </c>
    </row>
    <row r="62" spans="1:34" x14ac:dyDescent="0.35">
      <c r="A62" s="1">
        <f>A53/A57</f>
        <v>29.895462485056228</v>
      </c>
      <c r="D62" s="1">
        <f t="shared" ref="D62:D63" si="22">D53/D57</f>
        <v>3.8683466349470805</v>
      </c>
      <c r="G62" s="1">
        <f t="shared" ref="G62:G63" si="23">G53/G57</f>
        <v>13.81464734285756</v>
      </c>
      <c r="J62" s="1">
        <f t="shared" ref="J62:J63" si="24">J53/J57</f>
        <v>10.805102015634702</v>
      </c>
      <c r="M62" s="1">
        <f t="shared" ref="M62:M63" si="25">M53/M57</f>
        <v>2.9935832518624812</v>
      </c>
      <c r="P62" s="1">
        <f t="shared" ref="P62:P63" si="26">P53/P57</f>
        <v>10.893286165345449</v>
      </c>
      <c r="S62" s="1">
        <f t="shared" ref="S62:S63" si="27">S53/S57</f>
        <v>13.755626503469802</v>
      </c>
      <c r="V62" s="1">
        <f t="shared" ref="V62:V63" si="28">V53/V57</f>
        <v>6.6502193443516671</v>
      </c>
      <c r="Y62" s="1">
        <f t="shared" ref="Y62:Y63" si="29">Y53/Y57</f>
        <v>4.6857093264203513</v>
      </c>
      <c r="AB62" s="1">
        <f t="shared" ref="AB62:AB63" si="30">AB53/AB57</f>
        <v>3.4080962564011013</v>
      </c>
      <c r="AE62" s="1">
        <f t="shared" ref="AE62:AE63" si="31">AE53/AE57</f>
        <v>3.8678102534675789</v>
      </c>
    </row>
    <row r="63" spans="1:34" x14ac:dyDescent="0.35">
      <c r="A63" s="1">
        <f t="shared" ref="A63" si="32">A54/A58</f>
        <v>32.195494471741611</v>
      </c>
      <c r="D63" s="1">
        <f t="shared" si="22"/>
        <v>10.210277728889041</v>
      </c>
      <c r="G63" s="1">
        <f t="shared" si="23"/>
        <v>11.50600167823599</v>
      </c>
      <c r="J63" s="1">
        <f t="shared" si="24"/>
        <v>20.819208783892122</v>
      </c>
      <c r="M63" s="1">
        <f t="shared" si="25"/>
        <v>7.5108304540875261</v>
      </c>
      <c r="P63" s="1">
        <f t="shared" si="26"/>
        <v>20.128453601679762</v>
      </c>
      <c r="S63" s="1">
        <f t="shared" si="27"/>
        <v>16.982659208323096</v>
      </c>
      <c r="V63" s="1">
        <f t="shared" si="28"/>
        <v>6.1230827746177647</v>
      </c>
      <c r="Y63" s="1">
        <f t="shared" si="29"/>
        <v>6.1570699653786178</v>
      </c>
      <c r="AB63" s="1">
        <f t="shared" si="30"/>
        <v>5.473271335942326</v>
      </c>
      <c r="AE63" s="1">
        <f t="shared" si="31"/>
        <v>1.5152359120659658</v>
      </c>
    </row>
    <row r="65" spans="1:34" x14ac:dyDescent="0.35">
      <c r="A65" s="1" t="s">
        <v>18</v>
      </c>
    </row>
    <row r="66" spans="1:34" x14ac:dyDescent="0.35">
      <c r="A66" s="1">
        <v>16.389358519999998</v>
      </c>
      <c r="B66">
        <f>A66+A70</f>
        <v>16.412494876829999</v>
      </c>
      <c r="C66">
        <f>A66-A70</f>
        <v>16.366222163169997</v>
      </c>
      <c r="D66" s="1">
        <v>15.50137329</v>
      </c>
      <c r="E66">
        <f>D66+D70</f>
        <v>15.6513014654</v>
      </c>
      <c r="F66">
        <f>D66-D70</f>
        <v>15.351445114600001</v>
      </c>
      <c r="G66" s="1">
        <v>15.90606689</v>
      </c>
      <c r="H66">
        <f>G66+G70</f>
        <v>15.935912654679999</v>
      </c>
      <c r="I66">
        <f>G66-G70</f>
        <v>15.876221125320001</v>
      </c>
      <c r="J66" s="1">
        <v>15.94796753</v>
      </c>
      <c r="K66">
        <f>J66+J70</f>
        <v>15.99452350954</v>
      </c>
      <c r="L66">
        <f>J66-J70</f>
        <v>15.901411550459999</v>
      </c>
      <c r="M66" s="1">
        <v>15.820037839999999</v>
      </c>
      <c r="N66">
        <f>M66+M70</f>
        <v>15.9786922494</v>
      </c>
      <c r="O66">
        <f>M66-M70</f>
        <v>15.661383430599999</v>
      </c>
      <c r="P66" s="1">
        <v>15.748764039999999</v>
      </c>
      <c r="Q66">
        <f>P66+P70</f>
        <v>15.80108941744</v>
      </c>
      <c r="R66">
        <f>P66-P70</f>
        <v>15.696438662559999</v>
      </c>
      <c r="S66" s="1">
        <v>16.078094480000001</v>
      </c>
      <c r="T66">
        <f>S66+S70</f>
        <v>16.108586929960001</v>
      </c>
      <c r="U66">
        <f>S66-S70</f>
        <v>16.04760203004</v>
      </c>
      <c r="V66" s="1">
        <v>15.58953857</v>
      </c>
      <c r="W66">
        <f>V66+V70</f>
        <v>15.67679027508</v>
      </c>
      <c r="X66">
        <f>V66-V70</f>
        <v>15.50228686492</v>
      </c>
      <c r="Y66" s="1">
        <v>14.82821655</v>
      </c>
      <c r="Z66">
        <f>Y66+Y70</f>
        <v>14.906979983900001</v>
      </c>
      <c r="AA66">
        <f>Y66-Y70</f>
        <v>14.7494531161</v>
      </c>
      <c r="AB66" s="1">
        <v>15.01379395</v>
      </c>
      <c r="AC66">
        <f>AB66+AB70</f>
        <v>15.1413228933</v>
      </c>
      <c r="AD66">
        <f>AB66-AB70</f>
        <v>14.8862650067</v>
      </c>
    </row>
    <row r="67" spans="1:34" x14ac:dyDescent="0.35">
      <c r="A67" s="1">
        <v>4.4899139400000001</v>
      </c>
      <c r="B67">
        <f>A67+A71</f>
        <v>4.7323604458000004</v>
      </c>
      <c r="C67">
        <f>A67-A71</f>
        <v>4.2474674341999998</v>
      </c>
      <c r="D67" s="1">
        <v>3.6927795410000002</v>
      </c>
      <c r="E67">
        <f>D67+D71</f>
        <v>4.0319987590000004</v>
      </c>
      <c r="F67">
        <f>D67-D71</f>
        <v>3.353560323</v>
      </c>
      <c r="G67" s="1">
        <v>4.3386154169999998</v>
      </c>
      <c r="H67">
        <f>G67+G71</f>
        <v>4.5858657183</v>
      </c>
      <c r="I67">
        <f>G67-G71</f>
        <v>4.0913651156999995</v>
      </c>
      <c r="J67" s="1">
        <v>4.357307434</v>
      </c>
      <c r="K67">
        <f>J67+J71</f>
        <v>4.5389335072000003</v>
      </c>
      <c r="L67">
        <f>J67-J71</f>
        <v>4.1756813607999996</v>
      </c>
      <c r="M67" s="1">
        <v>4.3693237299999996</v>
      </c>
      <c r="N67">
        <f>M67+M71</f>
        <v>5.0309012574</v>
      </c>
      <c r="O67">
        <f>M67-M71</f>
        <v>3.7077462025999997</v>
      </c>
      <c r="P67" s="1">
        <v>4.7613983150000001</v>
      </c>
      <c r="Q67">
        <f>P67+P71</f>
        <v>4.9357047382000001</v>
      </c>
      <c r="R67">
        <f>P67-P71</f>
        <v>4.5870918918000001</v>
      </c>
      <c r="S67" s="1">
        <v>3.9794769290000001</v>
      </c>
      <c r="T67">
        <f>S67+S71</f>
        <v>4.1470458345000001</v>
      </c>
      <c r="U67">
        <f>S67-S71</f>
        <v>3.8119080235</v>
      </c>
      <c r="V67" s="1">
        <v>3.49168396</v>
      </c>
      <c r="W67">
        <f>V67+V71</f>
        <v>3.8282191786999999</v>
      </c>
      <c r="X67">
        <f>V67-V71</f>
        <v>3.1551487413000001</v>
      </c>
      <c r="Y67" s="1">
        <v>4.4418640140000001</v>
      </c>
      <c r="Z67">
        <f>Y67+Y71</f>
        <v>5.1276274265000001</v>
      </c>
      <c r="AA67">
        <f>Y67-Y71</f>
        <v>3.7561006015</v>
      </c>
      <c r="AB67" s="1">
        <v>5.3202514650000001</v>
      </c>
      <c r="AC67">
        <f>AB67+AB71</f>
        <v>5.8241012423000003</v>
      </c>
      <c r="AD67">
        <f>AB67-AB71</f>
        <v>4.8164016877</v>
      </c>
    </row>
    <row r="68" spans="1:34" x14ac:dyDescent="0.35">
      <c r="A68" s="1">
        <v>3.088779449</v>
      </c>
      <c r="B68">
        <f>A68+A72</f>
        <v>3.1894507018999998</v>
      </c>
      <c r="C68">
        <f>A68-A72</f>
        <v>2.9881081961000002</v>
      </c>
      <c r="D68" s="1">
        <v>2.2282629009999999</v>
      </c>
      <c r="E68">
        <f>D68+D72</f>
        <v>2.6968942708999997</v>
      </c>
      <c r="F68">
        <f>D68-D72</f>
        <v>1.7596315310999999</v>
      </c>
      <c r="G68" s="1">
        <v>1.165804863</v>
      </c>
      <c r="H68">
        <f>G68+G72</f>
        <v>1.2336751240099999</v>
      </c>
      <c r="I68">
        <f>G68-G72</f>
        <v>1.09793460199</v>
      </c>
      <c r="J68" s="1">
        <v>2.3715333940000001</v>
      </c>
      <c r="K68">
        <f>J68+J72</f>
        <v>2.5544624865000003</v>
      </c>
      <c r="L68">
        <f>J68-J72</f>
        <v>2.1886043014999998</v>
      </c>
      <c r="M68" s="1">
        <v>3.2502975460000001</v>
      </c>
      <c r="N68">
        <f>M68+M72</f>
        <v>4.1623934523999999</v>
      </c>
      <c r="O68">
        <f>M68-M72</f>
        <v>2.3382016396000003</v>
      </c>
      <c r="P68" s="1">
        <v>2.9769458769999999</v>
      </c>
      <c r="Q68">
        <f>P68+P72</f>
        <v>3.2034116729999997</v>
      </c>
      <c r="R68">
        <f>P68-P72</f>
        <v>2.7504800810000001</v>
      </c>
      <c r="S68" s="1">
        <v>1.8709754940000001</v>
      </c>
      <c r="T68">
        <f>S68+S72</f>
        <v>1.9725150061000001</v>
      </c>
      <c r="U68">
        <f>S68-S72</f>
        <v>1.7694359819000001</v>
      </c>
      <c r="V68" s="1">
        <v>2.5704765319999998</v>
      </c>
      <c r="W68">
        <f>V68+V72</f>
        <v>3.0059089092</v>
      </c>
      <c r="X68">
        <f>V68-V72</f>
        <v>2.1350441547999996</v>
      </c>
      <c r="Y68" s="1">
        <v>1.9340801240000001</v>
      </c>
      <c r="Z68">
        <f>Y68+Y72</f>
        <v>2.2628632740999999</v>
      </c>
      <c r="AA68">
        <f>Y68-Y72</f>
        <v>1.6052969739</v>
      </c>
      <c r="AB68" s="1">
        <v>3.2493381499999998</v>
      </c>
      <c r="AC68">
        <f>AB68+AB72</f>
        <v>4.0479321482000001</v>
      </c>
      <c r="AD68">
        <f>AB68-AB72</f>
        <v>2.4507441517999999</v>
      </c>
    </row>
    <row r="69" spans="1:34" x14ac:dyDescent="0.35">
      <c r="A69" s="1">
        <v>1.9787902829999999</v>
      </c>
      <c r="B69">
        <f>A69+A73</f>
        <v>2.0475509468299999</v>
      </c>
      <c r="C69">
        <f>A69-A73</f>
        <v>1.9100296191699999</v>
      </c>
      <c r="D69" s="1">
        <v>1.81678772</v>
      </c>
      <c r="E69">
        <f>D69+D73</f>
        <v>1.9691770008</v>
      </c>
      <c r="F69">
        <f>D69-D73</f>
        <v>1.6643984392</v>
      </c>
      <c r="G69" s="1">
        <v>1.944946289</v>
      </c>
      <c r="H69">
        <f>G69+G73</f>
        <v>2.0889718247000002</v>
      </c>
      <c r="I69">
        <f>G69-G73</f>
        <v>1.8009207533</v>
      </c>
      <c r="J69" s="1">
        <v>1.910385132</v>
      </c>
      <c r="K69">
        <f>J69+J73</f>
        <v>1.98826478103</v>
      </c>
      <c r="L69">
        <f>J69-J73</f>
        <v>1.83250548297</v>
      </c>
      <c r="M69" s="1">
        <v>2.291030884</v>
      </c>
      <c r="N69">
        <f>M69+M73</f>
        <v>2.5477075802</v>
      </c>
      <c r="O69">
        <f>M69-M73</f>
        <v>2.0343541878</v>
      </c>
      <c r="P69" s="1">
        <v>2.0518493649999998</v>
      </c>
      <c r="Q69">
        <f>P69+P73</f>
        <v>2.14066672001</v>
      </c>
      <c r="R69">
        <f>P69-P73</f>
        <v>1.9630320099899998</v>
      </c>
      <c r="S69" s="1">
        <v>1.6499328609999999</v>
      </c>
      <c r="T69">
        <f>S69+S73</f>
        <v>1.7290377457799999</v>
      </c>
      <c r="U69">
        <f>S69-S73</f>
        <v>1.5708279762199999</v>
      </c>
      <c r="V69" s="1">
        <v>1.9355926510000001</v>
      </c>
      <c r="W69">
        <f>V69+V73</f>
        <v>2.1166375162</v>
      </c>
      <c r="X69">
        <f>V69-V73</f>
        <v>1.7545477858</v>
      </c>
      <c r="Y69" s="1">
        <v>1.9301300050000001</v>
      </c>
      <c r="Z69">
        <f>Y69+Y73</f>
        <v>2.1703449145000002</v>
      </c>
      <c r="AA69">
        <f>Y69-Y73</f>
        <v>1.6899150955000002</v>
      </c>
      <c r="AB69" s="1">
        <v>1.7123565670000001</v>
      </c>
      <c r="AC69">
        <f>AB69+AB73</f>
        <v>1.9762396406</v>
      </c>
      <c r="AD69">
        <f>AB69-AB73</f>
        <v>1.4484734934000001</v>
      </c>
    </row>
    <row r="70" spans="1:34" x14ac:dyDescent="0.35">
      <c r="A70" s="1">
        <v>2.313635683E-2</v>
      </c>
      <c r="B70" t="str">
        <f>IF(AND(B66&lt;=B2,B66&gt;=C2),"CASE 2",IF(AND(C66&lt;=B2,C66&gt;=C2),"CASE 1",IF(AND(B66&gt;=B2,C66&lt;=C2),"CASE 3",IF(AND(B66&lt;=B2,C66&gt;=C2),"CASE 4",FALSE()))))</f>
        <v>CASE 2</v>
      </c>
      <c r="C70">
        <f>ABS(A66-A$2)</f>
        <v>2.8555870000001704E-2</v>
      </c>
      <c r="D70" s="1">
        <v>0.1499281754</v>
      </c>
      <c r="E70" t="str">
        <f>IF(AND(E66&lt;=E2,E66&gt;=F2),"CASE 2",IF(AND(F66&lt;=E2,F66&gt;=F2),"CASE 1",IF(AND(E66&gt;=E2,F66&lt;=F2),"CASE 3",IF(AND(E66&lt;=E2,F66&gt;=F2),"CASE 4",FALSE()))))</f>
        <v>CASE 2</v>
      </c>
      <c r="F70">
        <f>ABS(D66-D$2)</f>
        <v>9.6793890000000715E-2</v>
      </c>
      <c r="G70" s="1">
        <v>2.9845764680000001E-2</v>
      </c>
      <c r="H70" t="str">
        <f>IF(AND(H66&lt;=H2,H66&gt;=I2),"CASE 2",IF(AND(I66&lt;=H2,I66&gt;=I2),"CASE 1",IF(AND(H66&gt;=H2,I66&lt;=I2),"CASE 3",IF(AND(H66&lt;=H2,I66&gt;=I2),"CASE 4",FALSE()))))</f>
        <v>CASE 3</v>
      </c>
      <c r="I70">
        <f>ABS(G66-G$2)</f>
        <v>6.3903300000003327E-3</v>
      </c>
      <c r="J70" s="1">
        <v>4.655597954E-2</v>
      </c>
      <c r="K70" t="str">
        <f>IF(AND(K66&lt;=K2,K66&gt;=L2),"CASE 2",IF(AND(L66&lt;=K2,L66&gt;=L2),"CASE 1",IF(AND(K66&gt;=K2,L66&lt;=L2),"CASE 3",IF(AND(K66&lt;=K2,L66&gt;=L2),"CASE 4",FALSE()))))</f>
        <v>CASE 1</v>
      </c>
      <c r="L70">
        <f>ABS(J66-J$2)</f>
        <v>7.7563469999999413E-2</v>
      </c>
      <c r="M70" s="1">
        <v>0.1586544094</v>
      </c>
      <c r="N70" t="b">
        <f>IF(AND(N66&lt;=N2,N66&gt;=O2),"CASE 2",IF(AND(O66&lt;=N2,O66&gt;=O2),"CASE 1",IF(AND(N66&gt;=N2,O66&lt;=O2),"CASE 3",IF(AND(N66&lt;=N2,O66&gt;=O2),"CASE 4",FALSE()))))</f>
        <v>0</v>
      </c>
      <c r="O70">
        <f>ABS(M66-M$2)</f>
        <v>0.26766454999999922</v>
      </c>
      <c r="P70" s="1">
        <v>5.2325377440000001E-2</v>
      </c>
      <c r="Q70" t="b">
        <f>IF(AND(Q66&lt;=Q2,Q66&gt;=R2),"CASE 2",IF(AND(R66&lt;=Q2,R66&gt;=R2),"CASE 1",IF(AND(Q66&gt;=Q2,R66&lt;=R2),"CASE 3",IF(AND(Q66&lt;=Q2,R66&gt;=R2),"CASE 4",FALSE()))))</f>
        <v>0</v>
      </c>
      <c r="R70">
        <f>ABS(P66-P$2)</f>
        <v>0.15565630999999946</v>
      </c>
      <c r="S70" s="1">
        <v>3.0492449960000001E-2</v>
      </c>
      <c r="T70" t="str">
        <f>IF(AND(T66&lt;=T2,T66&gt;=U2),"CASE 2",IF(AND(U66&lt;=T2,U66&gt;=U2),"CASE 1",IF(AND(T66&gt;=T2,U66&lt;=U2),"CASE 3",IF(AND(T66&lt;=T2,U66&gt;=U2),"CASE 4",FALSE()))))</f>
        <v>CASE 2</v>
      </c>
      <c r="U70">
        <f>ABS(S66-S$2)</f>
        <v>3.1136870000000982E-2</v>
      </c>
      <c r="V70" s="1">
        <v>8.7251705080000005E-2</v>
      </c>
      <c r="W70" t="b">
        <f>IF(AND(W66&lt;=W2,W66&gt;=X2),"CASE 2",IF(AND(X66&lt;=W2,X66&gt;=X2),"CASE 1",IF(AND(W66&gt;=W2,X66&lt;=X2),"CASE 3",IF(AND(W66&lt;=W2,X66&gt;=X2),"CASE 4",FALSE()))))</f>
        <v>0</v>
      </c>
      <c r="X70">
        <f>ABS(V66-V$2)</f>
        <v>0.1662464099999994</v>
      </c>
      <c r="Y70" s="1">
        <v>7.8763433899999999E-2</v>
      </c>
      <c r="Z70" t="str">
        <f>IF(AND(Z66&lt;=Z2,Z66&gt;=AA2),"CASE 2",IF(AND(AA66&lt;=Z2,AA66&gt;=AA2),"CASE 1",IF(AND(Z66&gt;=Z2,AA66&lt;=AA2),"CASE 3",IF(AND(Z66&lt;=Z2,AA66&gt;=AA2),"CASE 4",FALSE()))))</f>
        <v>CASE 1</v>
      </c>
      <c r="AA70">
        <f>ABS(Y66-Y$2)</f>
        <v>3.9108040000000344E-2</v>
      </c>
      <c r="AB70" s="1">
        <v>0.1275289433</v>
      </c>
      <c r="AC70" t="str">
        <f>IF(AND(AC66&lt;=AC2,AC66&gt;=AD2),"CASE 2",IF(AND(AD66&lt;=AC2,AD66&gt;=AD2),"CASE 1",IF(AND(AC66&gt;=AC2,AD66&lt;=AD2),"CASE 3",IF(AND(AC66&lt;=AC2,AD66&gt;=AD2),"CASE 4",FALSE()))))</f>
        <v>CASE 1</v>
      </c>
      <c r="AD70">
        <f>ABS(AB66-AB$2)</f>
        <v>5.830586000000082E-2</v>
      </c>
      <c r="AE70"/>
    </row>
    <row r="71" spans="1:34" x14ac:dyDescent="0.35">
      <c r="A71" s="1">
        <v>0.24244650579999999</v>
      </c>
      <c r="B71" t="b">
        <f>IF(AND(B67&lt;=B3,B67&gt;=C3),"CASE 2",IF(AND(C67&lt;=B3,C67&gt;=C3),"CASE 1",IF(AND(B67&gt;=B3,C67&lt;=C3),"CASE 3",IF(AND(B67&lt;=B3,C67&gt;=C3),"CASE 4",FALSE()))))</f>
        <v>0</v>
      </c>
      <c r="C71">
        <f>ABS(A67-A$3)</f>
        <v>0.54995703699999998</v>
      </c>
      <c r="D71" s="1">
        <v>0.33921921799999999</v>
      </c>
      <c r="E71" t="str">
        <f>IF(AND(E67&lt;=E3,E67&gt;=F3),"CASE 2",IF(AND(F67&lt;=E3,F67&gt;=F3),"CASE 1",IF(AND(E67&gt;=E3,F67&lt;=F3),"CASE 3",IF(AND(E67&lt;=E3,F67&gt;=F3),"CASE 4",FALSE()))))</f>
        <v>CASE 1</v>
      </c>
      <c r="F71">
        <f>ABS(D67-D$3)</f>
        <v>0.23354798600000004</v>
      </c>
      <c r="G71" s="1">
        <v>0.2472503013</v>
      </c>
      <c r="H71" t="str">
        <f>IF(AND(H67&lt;=H3,H67&gt;=I3),"CASE 2",IF(AND(I67&lt;=H3,I67&gt;=I3),"CASE 1",IF(AND(H67&gt;=H3,I67&lt;=I3),"CASE 3",IF(AND(H67&lt;=H3,I67&gt;=I3),"CASE 4",FALSE()))))</f>
        <v>CASE 1</v>
      </c>
      <c r="I71">
        <f>ABS(G67-G$3)</f>
        <v>0.14184105100000011</v>
      </c>
      <c r="J71" s="1">
        <v>0.18162607319999999</v>
      </c>
      <c r="K71" t="str">
        <f>IF(AND(K67&lt;=K3,K67&gt;=L3),"CASE 2",IF(AND(L67&lt;=K3,L67&gt;=L3),"CASE 1",IF(AND(K67&gt;=K3,L67&lt;=L3),"CASE 3",IF(AND(K67&lt;=K3,L67&gt;=L3),"CASE 4",FALSE()))))</f>
        <v>CASE 1</v>
      </c>
      <c r="L71">
        <f>ABS(J67-J$3)</f>
        <v>0.13766694099999999</v>
      </c>
      <c r="M71" s="1">
        <v>0.66157752739999998</v>
      </c>
      <c r="N71" t="b">
        <f>IF(AND(N67&lt;=N3,N67&gt;=O3),"CASE 2",IF(AND(O67&lt;=N3,O67&gt;=O3),"CASE 1",IF(AND(N67&gt;=N3,O67&lt;=O3),"CASE 3",IF(AND(N67&lt;=N3,O67&gt;=O3),"CASE 4",FALSE()))))</f>
        <v>0</v>
      </c>
      <c r="O71">
        <f>ABS(M67-M$3)</f>
        <v>1.3460788569999997</v>
      </c>
      <c r="P71" s="1">
        <v>0.1743064232</v>
      </c>
      <c r="Q71" t="b">
        <f>IF(AND(Q67&lt;=Q3,Q67&gt;=R3),"CASE 2",IF(AND(R67&lt;=Q3,R67&gt;=R3),"CASE 1",IF(AND(Q67&gt;=Q3,R67&lt;=R3),"CASE 3",IF(AND(Q67&lt;=Q3,R67&gt;=R3),"CASE 4",FALSE()))))</f>
        <v>0</v>
      </c>
      <c r="R71">
        <f>ABS(P67-P$3)</f>
        <v>0.39114355999999972</v>
      </c>
      <c r="S71" s="1">
        <v>0.1675689055</v>
      </c>
      <c r="T71" t="str">
        <f>IF(AND(T67&lt;=T3,T67&gt;=U3),"CASE 2",IF(AND(U67&lt;=T3,U67&gt;=U3),"CASE 1",IF(AND(T67&gt;=T3,U67&lt;=U3),"CASE 3",IF(AND(T67&lt;=T3,U67&gt;=U3),"CASE 4",FALSE()))))</f>
        <v>CASE 3</v>
      </c>
      <c r="U71">
        <f>ABS(S67-S$3)</f>
        <v>5.4201782000000254E-2</v>
      </c>
      <c r="V71" s="1">
        <v>0.33653521870000003</v>
      </c>
      <c r="W71" t="b">
        <f>IF(AND(W67&lt;=W3,W67&gt;=X3),"CASE 2",IF(AND(X67&lt;=W3,X67&gt;=X3),"CASE 1",IF(AND(W67&gt;=W3,X67&lt;=X3),"CASE 3",IF(AND(W67&lt;=W3,X67&gt;=X3),"CASE 4",FALSE()))))</f>
        <v>0</v>
      </c>
      <c r="X71">
        <f>ABS(V67-V$3)</f>
        <v>0.88623663800000019</v>
      </c>
      <c r="Y71" s="1">
        <v>0.68576341249999995</v>
      </c>
      <c r="Z71" t="str">
        <f>IF(AND(Z67&lt;=Z3,Z67&gt;=AA3),"CASE 2",IF(AND(AA67&lt;=Z3,AA67&gt;=AA3),"CASE 1",IF(AND(Z67&gt;=Z3,AA67&lt;=AA3),"CASE 3",IF(AND(Z67&lt;=Z3,AA67&gt;=AA3),"CASE 4",FALSE()))))</f>
        <v>CASE 1</v>
      </c>
      <c r="AA71">
        <f>ABS(Y67-Y$3)</f>
        <v>0.40034969199999981</v>
      </c>
      <c r="AB71" s="1">
        <v>0.50384977730000002</v>
      </c>
      <c r="AC71" t="b">
        <f>IF(AND(AC67&lt;=AC3,AC67&gt;=AD3),"CASE 2",IF(AND(AD67&lt;=AC3,AD67&gt;=AD3),"CASE 1",IF(AND(AC67&gt;=AC3,AD67&lt;=AD3),"CASE 3",IF(AND(AC67&lt;=AC3,AD67&gt;=AD3),"CASE 4",FALSE()))))</f>
        <v>0</v>
      </c>
      <c r="AD71">
        <f>ABS(AB67-AB$3)</f>
        <v>0.86200398200000006</v>
      </c>
      <c r="AE71"/>
    </row>
    <row r="72" spans="1:34" x14ac:dyDescent="0.35">
      <c r="A72" s="1">
        <v>0.10067125289999999</v>
      </c>
      <c r="B72" t="b">
        <f>IF(AND(B68&lt;=B4,B68&gt;=C4),"CASE 2",IF(AND(C68&lt;=B4,C68&gt;=C4),"CASE 1",IF(AND(B68&gt;=B4,C68&lt;=C4),"CASE 3",IF(AND(B68&lt;=B4,C68&gt;=C4),"CASE 4",FALSE()))))</f>
        <v>0</v>
      </c>
      <c r="C72">
        <f>ABS(A68-A$4)</f>
        <v>0.4067310540000002</v>
      </c>
      <c r="D72" s="1">
        <v>0.46863136989999998</v>
      </c>
      <c r="E72" t="str">
        <f>IF(AND(E68&lt;=E4,E68&gt;=F4),"CASE 2",IF(AND(F68&lt;=E4,F68&gt;=F4),"CASE 1",IF(AND(E68&gt;=E4,F68&lt;=F4),"CASE 3",IF(AND(E68&lt;=E4,F68&gt;=F4),"CASE 4",FALSE()))))</f>
        <v>CASE 2</v>
      </c>
      <c r="F72">
        <f>ABS(D68-D$4)</f>
        <v>0.34455626100000014</v>
      </c>
      <c r="G72" s="1">
        <v>6.7870261010000002E-2</v>
      </c>
      <c r="H72" t="str">
        <f>IF(AND(H68&lt;=H4,H68&gt;=I4),"CASE 2",IF(AND(I68&lt;=H4,I68&gt;=I4),"CASE 1",IF(AND(H68&gt;=H4,I68&lt;=I4),"CASE 3",IF(AND(H68&lt;=H4,I68&gt;=I4),"CASE 4",FALSE()))))</f>
        <v>CASE 1</v>
      </c>
      <c r="I72">
        <f>ABS(G68-G$4)</f>
        <v>5.4588128000000014E-2</v>
      </c>
      <c r="J72" s="1">
        <v>0.1829290925</v>
      </c>
      <c r="K72" t="str">
        <f>IF(AND(K68&lt;=K4,K68&gt;=L4),"CASE 2",IF(AND(L68&lt;=K4,L68&gt;=L4),"CASE 1",IF(AND(K68&gt;=K4,L68&lt;=L4),"CASE 3",IF(AND(K68&lt;=K4,L68&gt;=L4),"CASE 4",FALSE()))))</f>
        <v>CASE 1</v>
      </c>
      <c r="L72">
        <f>ABS(J68-J$4)</f>
        <v>0.28926567599999986</v>
      </c>
      <c r="M72" s="1">
        <v>0.91209590640000004</v>
      </c>
      <c r="N72" t="str">
        <f>IF(AND(N68&lt;=N4,N68&gt;=O4),"CASE 2",IF(AND(O68&lt;=N4,O68&gt;=O4),"CASE 1",IF(AND(N68&gt;=N4,O68&lt;=O4),"CASE 3",IF(AND(N68&lt;=N4,O68&gt;=O4),"CASE 4",FALSE()))))</f>
        <v>CASE 1</v>
      </c>
      <c r="O72">
        <f>ABS(M68-M$4)</f>
        <v>1.2634589930000002</v>
      </c>
      <c r="P72" s="1">
        <v>0.226465796</v>
      </c>
      <c r="Q72" t="b">
        <f>IF(AND(Q68&lt;=Q4,Q68&gt;=R4),"CASE 2",IF(AND(R68&lt;=Q4,R68&gt;=R4),"CASE 1",IF(AND(Q68&gt;=Q4,R68&lt;=R4),"CASE 3",IF(AND(Q68&lt;=Q4,R68&gt;=R4),"CASE 4",FALSE()))))</f>
        <v>0</v>
      </c>
      <c r="R72">
        <f>ABS(P68-P$4)</f>
        <v>0.49139333099999982</v>
      </c>
      <c r="S72" s="1">
        <v>0.10153951210000001</v>
      </c>
      <c r="T72" t="str">
        <f>IF(AND(T68&lt;=T4,T68&gt;=U4),"CASE 2",IF(AND(U68&lt;=T4,U68&gt;=U4),"CASE 1",IF(AND(T68&gt;=T4,U68&lt;=U4),"CASE 3",IF(AND(T68&lt;=T4,U68&gt;=U4),"CASE 4",FALSE()))))</f>
        <v>CASE 2</v>
      </c>
      <c r="U72">
        <f>ABS(S68-S$4)</f>
        <v>0.1370166359999998</v>
      </c>
      <c r="V72" s="1">
        <v>0.4354323772</v>
      </c>
      <c r="W72" t="b">
        <f>IF(AND(W68&lt;=W4,W68&gt;=X4),"CASE 2",IF(AND(X68&lt;=W4,X68&gt;=X4),"CASE 1",IF(AND(W68&gt;=W4,X68&lt;=X4),"CASE 3",IF(AND(W68&lt;=W4,X68&gt;=X4),"CASE 4",FALSE()))))</f>
        <v>0</v>
      </c>
      <c r="X72">
        <f>ABS(V68-V$4)</f>
        <v>1.1340226459999998</v>
      </c>
      <c r="Y72" s="1">
        <v>0.32878315009999998</v>
      </c>
      <c r="Z72" t="str">
        <f>IF(AND(Z68&lt;=Z4,Z68&gt;=AA4),"CASE 2",IF(AND(AA68&lt;=Z4,AA68&gt;=AA4),"CASE 1",IF(AND(Z68&gt;=Z4,AA68&lt;=AA4),"CASE 3",IF(AND(Z68&lt;=Z4,AA68&gt;=AA4),"CASE 4",FALSE()))))</f>
        <v>CASE 3</v>
      </c>
      <c r="AA72">
        <f>ABS(Y68-Y$4)</f>
        <v>3.1561260000001479E-3</v>
      </c>
      <c r="AB72" s="1">
        <v>0.79859399819999999</v>
      </c>
      <c r="AC72" t="str">
        <f>IF(AND(AC68&lt;=AC4,AC68&gt;=AD4),"CASE 2",IF(AND(AD68&lt;=AC4,AD68&gt;=AD4),"CASE 1",IF(AND(AC68&gt;=AC4,AD68&lt;=AD4),"CASE 3",IF(AND(AC68&lt;=AC4,AD68&gt;=AD4),"CASE 4",FALSE()))))</f>
        <v>CASE 3</v>
      </c>
      <c r="AD72">
        <f>ABS(AB68-AB$4)</f>
        <v>3.465231099999988E-2</v>
      </c>
      <c r="AE72"/>
    </row>
    <row r="73" spans="1:34" x14ac:dyDescent="0.35">
      <c r="A73" s="1">
        <v>6.8760663829999999E-2</v>
      </c>
      <c r="B73" t="str">
        <f t="shared" ref="B73" si="33">IF(AND(B69&lt;=B5,B69&gt;=C5),"CASE 2",IF(AND(C69&lt;=B5,C69&gt;=C5),"CASE 1",IF(AND(B69&gt;=B5,C69&lt;=C5),"CASE 3",IF(AND(B69&lt;=B5,C69&gt;=C5),"CASE 4",FALSE()))))</f>
        <v>CASE 1</v>
      </c>
      <c r="C73">
        <f>ABS(A69-A$5)</f>
        <v>4.905986799999984E-2</v>
      </c>
      <c r="D73" s="1">
        <v>0.1523892808</v>
      </c>
      <c r="E73" t="str">
        <f t="shared" ref="E73" si="34">IF(AND(E69&lt;=E5,E69&gt;=F5),"CASE 2",IF(AND(F69&lt;=E5,F69&gt;=F5),"CASE 1",IF(AND(E69&gt;=E5,F69&lt;=F5),"CASE 3",IF(AND(E69&lt;=E5,F69&gt;=F5),"CASE 4",FALSE()))))</f>
        <v>CASE 3</v>
      </c>
      <c r="F73">
        <f>ABS(D69-D$5)</f>
        <v>3.9419411999999987E-2</v>
      </c>
      <c r="G73" s="1">
        <v>0.14402553570000001</v>
      </c>
      <c r="H73" t="str">
        <f t="shared" ref="H73" si="35">IF(AND(H69&lt;=H5,H69&gt;=I5),"CASE 2",IF(AND(I69&lt;=H5,I69&gt;=I5),"CASE 1",IF(AND(H69&gt;=H5,I69&lt;=I5),"CASE 3",IF(AND(H69&lt;=H5,I69&gt;=I5),"CASE 4",FALSE()))))</f>
        <v>CASE 3</v>
      </c>
      <c r="I73">
        <f>ABS(G69-G$5)</f>
        <v>8.3502529999999187E-3</v>
      </c>
      <c r="J73" s="1">
        <v>7.7879649029999998E-2</v>
      </c>
      <c r="K73" t="str">
        <f t="shared" ref="K73" si="36">IF(AND(K69&lt;=K5,K69&gt;=L5),"CASE 2",IF(AND(L69&lt;=K5,L69&gt;=L5),"CASE 1",IF(AND(K69&gt;=K5,L69&lt;=L5),"CASE 3",IF(AND(K69&lt;=K5,L69&gt;=L5),"CASE 4",FALSE()))))</f>
        <v>CASE 3</v>
      </c>
      <c r="L73">
        <f>ABS(J69-J$5)</f>
        <v>3.1923050000000064E-3</v>
      </c>
      <c r="M73" s="1">
        <v>0.2566766962</v>
      </c>
      <c r="N73" t="str">
        <f t="shared" ref="N73" si="37">IF(AND(N69&lt;=N5,N69&gt;=O5),"CASE 2",IF(AND(O69&lt;=N5,O69&gt;=O5),"CASE 1",IF(AND(N69&gt;=N5,O69&lt;=O5),"CASE 3",IF(AND(N69&lt;=N5,O69&gt;=O5),"CASE 4",FALSE()))))</f>
        <v>CASE 1</v>
      </c>
      <c r="O73">
        <f>ABS(M69-M$5)</f>
        <v>0.28944349299999983</v>
      </c>
      <c r="P73" s="1">
        <v>8.8817355010000001E-2</v>
      </c>
      <c r="Q73" t="str">
        <f t="shared" ref="Q73" si="38">IF(AND(Q69&lt;=Q5,Q69&gt;=R5),"CASE 2",IF(AND(R69&lt;=Q5,R69&gt;=R5),"CASE 1",IF(AND(Q69&gt;=Q5,R69&lt;=R5),"CASE 3",IF(AND(Q69&lt;=Q5,R69&gt;=R5),"CASE 4",FALSE()))))</f>
        <v>CASE 3</v>
      </c>
      <c r="R73">
        <f>ABS(P69-P$5)</f>
        <v>8.4944970000000453E-3</v>
      </c>
      <c r="S73" s="1">
        <v>7.9104884779999995E-2</v>
      </c>
      <c r="T73" t="str">
        <f t="shared" ref="T73" si="39">IF(AND(T69&lt;=T5,T69&gt;=U5),"CASE 2",IF(AND(U69&lt;=T5,U69&gt;=U5),"CASE 1",IF(AND(T69&gt;=T5,U69&lt;=U5),"CASE 3",IF(AND(T69&lt;=T5,U69&gt;=U5),"CASE 4",FALSE()))))</f>
        <v>CASE 3</v>
      </c>
      <c r="U73">
        <f>ABS(S69-S$5)</f>
        <v>7.9345699999988639E-4</v>
      </c>
      <c r="V73" s="1">
        <v>0.18104486519999999</v>
      </c>
      <c r="W73" t="str">
        <f t="shared" ref="W73" si="40">IF(AND(W69&lt;=W5,W69&gt;=X5),"CASE 2",IF(AND(X69&lt;=W5,X69&gt;=X5),"CASE 1",IF(AND(W69&gt;=W5,X69&lt;=X5),"CASE 3",IF(AND(W69&lt;=W5,X69&gt;=X5),"CASE 4",FALSE()))))</f>
        <v>CASE 2</v>
      </c>
      <c r="X73">
        <f>ABS(V69-V$5)</f>
        <v>4.2944431999999866E-2</v>
      </c>
      <c r="Y73" s="1">
        <v>0.24021490949999999</v>
      </c>
      <c r="Z73" t="str">
        <f t="shared" ref="Z73" si="41">IF(AND(Z69&lt;=Z5,Z69&gt;=AA5),"CASE 2",IF(AND(AA69&lt;=Z5,AA69&gt;=AA5),"CASE 1",IF(AND(Z69&gt;=Z5,AA69&lt;=AA5),"CASE 3",IF(AND(Z69&lt;=Z5,AA69&gt;=AA5),"CASE 4",FALSE()))))</f>
        <v>CASE 1</v>
      </c>
      <c r="AA73">
        <f>ABS(Y69-Y$5)</f>
        <v>0.1655755940000001</v>
      </c>
      <c r="AB73" s="1">
        <v>0.26388307360000002</v>
      </c>
      <c r="AC73" t="str">
        <f t="shared" ref="AC73" si="42">IF(AND(AC69&lt;=AC5,AC69&gt;=AD5),"CASE 2",IF(AND(AD69&lt;=AC5,AD69&gt;=AD5),"CASE 1",IF(AND(AC69&gt;=AC5,AD69&lt;=AD5),"CASE 3",IF(AND(AC69&lt;=AC5,AD69&gt;=AD5),"CASE 4",FALSE()))))</f>
        <v>CASE 3</v>
      </c>
      <c r="AD73">
        <f>ABS(AB69-AB$5)</f>
        <v>4.1902670000000253E-3</v>
      </c>
      <c r="AE73"/>
      <c r="AH73" t="s">
        <v>17</v>
      </c>
    </row>
    <row r="74" spans="1:34" x14ac:dyDescent="0.35">
      <c r="B74" t="s">
        <v>16</v>
      </c>
      <c r="C74">
        <f>SUM(C70:C73)</f>
        <v>1.0343038290000017</v>
      </c>
      <c r="E74" t="s">
        <v>16</v>
      </c>
      <c r="F74">
        <f>SUM(F70:F73)</f>
        <v>0.71431754900000088</v>
      </c>
      <c r="H74" t="s">
        <v>16</v>
      </c>
      <c r="I74">
        <f>SUM(I70:I73)</f>
        <v>0.21116976200000037</v>
      </c>
      <c r="K74" t="s">
        <v>16</v>
      </c>
      <c r="L74">
        <f>SUM(L70:L73)</f>
        <v>0.50768839199999927</v>
      </c>
      <c r="N74" t="s">
        <v>16</v>
      </c>
      <c r="O74">
        <f>SUM(O70:O73)</f>
        <v>3.1666458929999988</v>
      </c>
      <c r="Q74" t="s">
        <v>16</v>
      </c>
      <c r="R74">
        <f>SUM(R70:R73)</f>
        <v>1.0466876979999991</v>
      </c>
      <c r="T74" t="s">
        <v>16</v>
      </c>
      <c r="U74">
        <f>SUM(U70:U73)</f>
        <v>0.22314874500000093</v>
      </c>
      <c r="W74" t="s">
        <v>16</v>
      </c>
      <c r="X74">
        <f>SUM(X70:X73)</f>
        <v>2.2294501259999988</v>
      </c>
      <c r="Z74" t="s">
        <v>16</v>
      </c>
      <c r="AA74">
        <f>SUM(AA70:AA73)</f>
        <v>0.60818945200000041</v>
      </c>
      <c r="AC74" t="s">
        <v>16</v>
      </c>
      <c r="AD74">
        <f>SUM(AD70:AD73)</f>
        <v>0.95915242000000078</v>
      </c>
      <c r="AH74">
        <f>SUM(F70:F73,C70:C73,I70:I73,L70:L73,O70:O73,R70:R73,U70:U73,X70:X73,AA70:AA73,AD70:AD73)</f>
        <v>10.700753866000007</v>
      </c>
    </row>
  </sheetData>
  <conditionalFormatting sqref="A1:XFD18 A19:AG19 AI19:XFD19 A20:XFD28 A29:AG29 AI29:XFD29 A30:XFD37 A38:AG39 AI38:XFD39 AH39 A40:XFD47 A48:AG49 AI48:XFD49 AH49 A50:XFD57 A58:AG59 AI58:XFD59 AH59 A60:XFD69 AG70:XFD72 AF70:AF74 A70:AE1048576 AG73 AI73:XFD74 AG74:AH74 AF75:XFD1048576">
    <cfRule type="containsText" dxfId="3" priority="1" operator="containsText" text="CASE">
      <formula>NOT(ISERROR(SEARCH("CASE",A1)))</formula>
    </cfRule>
    <cfRule type="containsText" dxfId="2" priority="2" operator="containsText" text="FALSE">
      <formula>NOT(ISERROR(SEARCH("FALSE",A1)))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C90D-B880-472C-B979-4A54A88E3975}">
  <dimension ref="A1:AG59"/>
  <sheetViews>
    <sheetView workbookViewId="0">
      <selection activeCell="B6" sqref="B6"/>
    </sheetView>
  </sheetViews>
  <sheetFormatPr defaultRowHeight="14.5" x14ac:dyDescent="0.35"/>
  <cols>
    <col min="1" max="1" width="8.7265625" style="1"/>
    <col min="4" max="4" width="8.7265625" style="1"/>
    <col min="7" max="7" width="8.7265625" style="1"/>
    <col min="10" max="10" width="8.7265625" style="1"/>
    <col min="13" max="13" width="8.7265625" style="1"/>
    <col min="16" max="16" width="8.7265625" style="1"/>
    <col min="19" max="19" width="8.7265625" style="1"/>
    <col min="22" max="22" width="8.7265625" style="1"/>
    <col min="25" max="25" width="8.7265625" style="1"/>
    <col min="28" max="28" width="8.7265625" style="1"/>
    <col min="31" max="31" width="8.7265625" style="1"/>
  </cols>
  <sheetData>
    <row r="1" spans="1:33" x14ac:dyDescent="0.35">
      <c r="A1" s="1" t="s">
        <v>0</v>
      </c>
    </row>
    <row r="2" spans="1:33" x14ac:dyDescent="0.35">
      <c r="A2" s="1">
        <v>16.41791439</v>
      </c>
      <c r="B2">
        <f>A2+A6</f>
        <v>16.42916860139</v>
      </c>
      <c r="C2">
        <f>A2-A6</f>
        <v>16.40666017861</v>
      </c>
      <c r="D2" s="1">
        <v>15.598167180000001</v>
      </c>
      <c r="E2">
        <f>D2+D6</f>
        <v>15.736012579300001</v>
      </c>
      <c r="F2">
        <f>D2-D6</f>
        <v>15.460321780700001</v>
      </c>
      <c r="G2" s="1">
        <v>15.89967656</v>
      </c>
      <c r="H2">
        <f>G2+G6</f>
        <v>15.9202076525</v>
      </c>
      <c r="I2">
        <f>G2-G6</f>
        <v>15.879145467499999</v>
      </c>
      <c r="J2" s="1">
        <v>15.87040406</v>
      </c>
      <c r="K2">
        <f>J2+J6</f>
        <v>15.90421000021</v>
      </c>
      <c r="L2">
        <f>J2-J6</f>
        <v>15.836598119790001</v>
      </c>
      <c r="M2" s="1">
        <v>15.55237329</v>
      </c>
      <c r="N2">
        <f>M2+M6</f>
        <v>15.61810586132</v>
      </c>
      <c r="O2">
        <f>M2-M6</f>
        <v>15.48664071868</v>
      </c>
      <c r="P2" s="1">
        <v>15.59310773</v>
      </c>
      <c r="Q2">
        <f>P2+P6</f>
        <v>15.63006865336</v>
      </c>
      <c r="R2">
        <f>P2-P6</f>
        <v>15.556146806639999</v>
      </c>
      <c r="S2" s="1">
        <v>16.109231350000002</v>
      </c>
      <c r="T2">
        <f>S2+S6</f>
        <v>16.13097576166</v>
      </c>
      <c r="U2">
        <f>S2-S6</f>
        <v>16.087486938340003</v>
      </c>
      <c r="V2" s="1">
        <v>15.423292160000001</v>
      </c>
      <c r="W2">
        <f>V2+V6</f>
        <v>15.47905865587</v>
      </c>
      <c r="X2">
        <f>V2-V6</f>
        <v>15.367525664130001</v>
      </c>
      <c r="Y2" s="1">
        <v>14.78910851</v>
      </c>
      <c r="Z2">
        <f>Y2+Y6</f>
        <v>14.847191329679999</v>
      </c>
      <c r="AA2">
        <f>Y2-Y6</f>
        <v>14.731025690320001</v>
      </c>
      <c r="AB2" s="1">
        <v>14.955488089999999</v>
      </c>
      <c r="AC2">
        <f>AB2+AB6</f>
        <v>15.055767727799999</v>
      </c>
      <c r="AD2">
        <f>AB2-AB6</f>
        <v>14.855208452199999</v>
      </c>
      <c r="AE2" s="1">
        <v>15.153644440000001</v>
      </c>
      <c r="AF2">
        <f>AE2+AE6</f>
        <v>15.4204244463</v>
      </c>
      <c r="AG2">
        <f>AE2-AE6</f>
        <v>14.886864433700001</v>
      </c>
    </row>
    <row r="3" spans="1:33" x14ac:dyDescent="0.35">
      <c r="A3" s="1">
        <v>3.9399569030000001</v>
      </c>
      <c r="B3">
        <f>A3+A7</f>
        <v>4.02325339164</v>
      </c>
      <c r="C3">
        <f>A3-A7</f>
        <v>3.8566604143600003</v>
      </c>
      <c r="D3" s="1">
        <v>3.4592315550000001</v>
      </c>
      <c r="E3">
        <f>D3+D7</f>
        <v>3.6851875692</v>
      </c>
      <c r="F3">
        <f>D3-D7</f>
        <v>3.2332755408000002</v>
      </c>
      <c r="G3" s="1">
        <v>4.1967743659999996</v>
      </c>
      <c r="H3">
        <f>G3+G7</f>
        <v>4.3515279529999997</v>
      </c>
      <c r="I3">
        <f>G3-G7</f>
        <v>4.0420207789999996</v>
      </c>
      <c r="J3" s="1">
        <v>4.219640493</v>
      </c>
      <c r="K3">
        <f>J3+J7</f>
        <v>4.3479515414999996</v>
      </c>
      <c r="L3">
        <f>J3-J7</f>
        <v>4.0913294445000004</v>
      </c>
      <c r="M3" s="1">
        <v>3.0232448729999999</v>
      </c>
      <c r="N3">
        <f>M3+M7</f>
        <v>3.3517023851999999</v>
      </c>
      <c r="O3">
        <f>M3-M7</f>
        <v>2.6947873607999999</v>
      </c>
      <c r="P3" s="1">
        <v>4.3702547550000004</v>
      </c>
      <c r="Q3">
        <f>P3+P7</f>
        <v>4.5014913048</v>
      </c>
      <c r="R3">
        <f>P3-P7</f>
        <v>4.2390182052000007</v>
      </c>
      <c r="S3" s="1">
        <v>3.9252751469999998</v>
      </c>
      <c r="T3">
        <f>S3+S7</f>
        <v>4.0371225391999994</v>
      </c>
      <c r="U3">
        <f>S3-S7</f>
        <v>3.8134277547999997</v>
      </c>
      <c r="V3" s="1">
        <v>4.3779205980000002</v>
      </c>
      <c r="W3">
        <f>V3+V7</f>
        <v>4.7868667145000003</v>
      </c>
      <c r="X3">
        <f>V3-V7</f>
        <v>3.9689744815000001</v>
      </c>
      <c r="Y3" s="1">
        <v>4.0415143220000003</v>
      </c>
      <c r="Z3">
        <f>Y3+Y7</f>
        <v>4.4185737466999999</v>
      </c>
      <c r="AA3">
        <f>Y3-Y7</f>
        <v>3.6644548973000002</v>
      </c>
      <c r="AB3" s="1">
        <v>4.4582474830000001</v>
      </c>
      <c r="AC3">
        <f>AB3+AB7</f>
        <v>4.7759608674000003</v>
      </c>
      <c r="AD3">
        <f>AB3-AB7</f>
        <v>4.1405340985999999</v>
      </c>
      <c r="AE3" s="1">
        <v>5.2575609679999999</v>
      </c>
      <c r="AF3">
        <f>AE3+AE7</f>
        <v>6.0578615757999996</v>
      </c>
      <c r="AG3">
        <f>AE3-AE7</f>
        <v>4.4572603602000003</v>
      </c>
    </row>
    <row r="4" spans="1:33" x14ac:dyDescent="0.35">
      <c r="A4" s="1">
        <v>2.6820483949999998</v>
      </c>
      <c r="B4">
        <f>A4+A7</f>
        <v>2.7653448836399996</v>
      </c>
      <c r="C4">
        <f>A4-A7</f>
        <v>2.59875190636</v>
      </c>
      <c r="D4" s="1">
        <v>2.572819162</v>
      </c>
      <c r="E4">
        <f>D4+D7</f>
        <v>2.7987751761999999</v>
      </c>
      <c r="F4">
        <f>D4-D7</f>
        <v>2.3468631478000002</v>
      </c>
      <c r="G4" s="1">
        <v>1.111216735</v>
      </c>
      <c r="H4">
        <f>G4+G7</f>
        <v>1.265970322</v>
      </c>
      <c r="I4">
        <f>G4-G7</f>
        <v>0.95646314799999999</v>
      </c>
      <c r="J4" s="1">
        <v>2.0822677180000002</v>
      </c>
      <c r="K4">
        <f>J4+J7</f>
        <v>2.2105787665000003</v>
      </c>
      <c r="L4">
        <f>J4-J7</f>
        <v>1.9539566695000001</v>
      </c>
      <c r="M4" s="1">
        <v>1.9868385529999999</v>
      </c>
      <c r="N4">
        <f>M4+M7</f>
        <v>2.3152960652000001</v>
      </c>
      <c r="O4">
        <f>M4-M7</f>
        <v>1.6583810407999999</v>
      </c>
      <c r="P4" s="1">
        <v>2.4855525460000001</v>
      </c>
      <c r="Q4">
        <f>P4+P7</f>
        <v>2.6167890958000002</v>
      </c>
      <c r="R4">
        <f>P4-P7</f>
        <v>2.3543159962</v>
      </c>
      <c r="S4" s="1">
        <v>2.0079921299999999</v>
      </c>
      <c r="T4">
        <f>S4+S7</f>
        <v>2.1198395221999999</v>
      </c>
      <c r="U4">
        <f>S4-S7</f>
        <v>1.8961447377999998</v>
      </c>
      <c r="V4" s="1">
        <v>1.436453886</v>
      </c>
      <c r="W4">
        <f>V4+V7</f>
        <v>1.8454000024999999</v>
      </c>
      <c r="X4">
        <f>V4-V7</f>
        <v>1.0275077695000001</v>
      </c>
      <c r="Y4" s="1">
        <v>1.9309239979999999</v>
      </c>
      <c r="Z4">
        <f>Y4+Y7</f>
        <v>2.3079834227</v>
      </c>
      <c r="AA4">
        <f>Y4-Y7</f>
        <v>1.5538645732999998</v>
      </c>
      <c r="AB4" s="1">
        <v>3.2146858389999999</v>
      </c>
      <c r="AC4">
        <f>AB4+AB7</f>
        <v>3.5323992234000001</v>
      </c>
      <c r="AD4">
        <f>AB4-AB7</f>
        <v>2.8969724545999997</v>
      </c>
      <c r="AE4" s="1">
        <v>1.7612895150000001</v>
      </c>
      <c r="AF4">
        <f>AE4+AE7</f>
        <v>2.5615901228000002</v>
      </c>
      <c r="AG4">
        <f>AE4-AE7</f>
        <v>0.96098890720000008</v>
      </c>
    </row>
    <row r="5" spans="1:33" x14ac:dyDescent="0.35">
      <c r="A5" s="1">
        <v>1.9297304150000001</v>
      </c>
      <c r="B5">
        <f>A5+A9</f>
        <v>1.9628111908200001</v>
      </c>
      <c r="C5">
        <f>A5-A9</f>
        <v>1.8966496391800001</v>
      </c>
      <c r="D5" s="1">
        <v>1.856207132</v>
      </c>
      <c r="E5">
        <f>D5+D9</f>
        <v>1.9516958639099999</v>
      </c>
      <c r="F5">
        <f>D5-D9</f>
        <v>1.76071840009</v>
      </c>
      <c r="G5" s="1">
        <v>1.9532965419999999</v>
      </c>
      <c r="H5">
        <f>G5+G9</f>
        <v>2.04315591151</v>
      </c>
      <c r="I5">
        <f>G5-G9</f>
        <v>1.8634371724899998</v>
      </c>
      <c r="J5" s="1">
        <v>1.913577437</v>
      </c>
      <c r="K5">
        <f>J5+J9</f>
        <v>1.96351682874</v>
      </c>
      <c r="L5">
        <f>J5-J9</f>
        <v>1.8636380452600001</v>
      </c>
      <c r="M5" s="1">
        <v>2.0015873910000002</v>
      </c>
      <c r="N5">
        <f>M5+M9</f>
        <v>2.1150274829</v>
      </c>
      <c r="O5">
        <f>M5-M9</f>
        <v>1.8881472991000001</v>
      </c>
      <c r="P5" s="1">
        <v>2.0603438619999999</v>
      </c>
      <c r="Q5">
        <f>P5+P9</f>
        <v>2.1177729490899999</v>
      </c>
      <c r="R5">
        <f>P5-P9</f>
        <v>2.0029147749099998</v>
      </c>
      <c r="S5" s="1">
        <v>1.649139404</v>
      </c>
      <c r="T5">
        <f>S5+S9</f>
        <v>1.7005618304700001</v>
      </c>
      <c r="U5">
        <f>S5-S9</f>
        <v>1.59771697753</v>
      </c>
      <c r="V5" s="1">
        <v>1.978537083</v>
      </c>
      <c r="W5">
        <f>V5+V9</f>
        <v>2.1483177804999998</v>
      </c>
      <c r="X5">
        <f>V5-V9</f>
        <v>1.8087563855</v>
      </c>
      <c r="Y5" s="1">
        <v>1.764554411</v>
      </c>
      <c r="Z5">
        <f>Y5+Y9</f>
        <v>1.9216109537999999</v>
      </c>
      <c r="AA5">
        <f>Y5-Y9</f>
        <v>1.6074978682000001</v>
      </c>
      <c r="AB5" s="1">
        <v>1.7165468340000001</v>
      </c>
      <c r="AC5">
        <f>AB5+AB9</f>
        <v>1.8876331972</v>
      </c>
      <c r="AD5">
        <f>AB5-AB9</f>
        <v>1.5454604708000002</v>
      </c>
      <c r="AE5" s="1">
        <v>1.517354965</v>
      </c>
      <c r="AF5">
        <f>AE5+AE9</f>
        <v>1.9200063498</v>
      </c>
      <c r="AG5">
        <f>AE5-AE9</f>
        <v>1.1147035802</v>
      </c>
    </row>
    <row r="6" spans="1:33" x14ac:dyDescent="0.35">
      <c r="A6" s="1">
        <v>1.1254211389999999E-2</v>
      </c>
      <c r="D6" s="1">
        <v>0.1378453993</v>
      </c>
      <c r="G6" s="1">
        <v>2.0531092500000001E-2</v>
      </c>
      <c r="J6" s="1">
        <v>3.3805940210000003E-2</v>
      </c>
      <c r="M6" s="1">
        <v>6.5732571320000002E-2</v>
      </c>
      <c r="P6" s="1">
        <v>3.6960923360000002E-2</v>
      </c>
      <c r="S6" s="1">
        <v>2.1744411660000001E-2</v>
      </c>
      <c r="V6" s="1">
        <v>5.5766495870000002E-2</v>
      </c>
      <c r="Y6" s="1">
        <v>5.8082819680000002E-2</v>
      </c>
      <c r="AB6" s="1">
        <v>0.1002796378</v>
      </c>
      <c r="AE6" s="1">
        <v>0.26678000629999998</v>
      </c>
    </row>
    <row r="7" spans="1:33" x14ac:dyDescent="0.35">
      <c r="A7" s="1">
        <v>8.3296488639999999E-2</v>
      </c>
      <c r="D7" s="1">
        <v>0.2259560142</v>
      </c>
      <c r="G7" s="1">
        <v>0.154753587</v>
      </c>
      <c r="J7" s="1">
        <v>0.1283110485</v>
      </c>
      <c r="M7" s="1">
        <v>0.32845751220000002</v>
      </c>
      <c r="P7" s="1">
        <v>0.13123654979999999</v>
      </c>
      <c r="S7" s="1">
        <v>0.11184739220000001</v>
      </c>
      <c r="V7" s="1">
        <v>0.40894611650000001</v>
      </c>
      <c r="Y7" s="1">
        <v>0.37705942469999998</v>
      </c>
      <c r="AB7" s="1">
        <v>0.31771338440000002</v>
      </c>
      <c r="AE7" s="1">
        <v>0.80030060780000001</v>
      </c>
    </row>
    <row r="8" spans="1:33" x14ac:dyDescent="0.35">
      <c r="A8" s="1">
        <v>4.7620807629999998E-2</v>
      </c>
      <c r="D8" s="1">
        <v>0.44945077509999998</v>
      </c>
      <c r="G8" s="1">
        <v>4.2647073090000001E-2</v>
      </c>
      <c r="J8" s="1">
        <v>0.11754683940000001</v>
      </c>
      <c r="M8" s="1">
        <v>0.43071645149999999</v>
      </c>
      <c r="P8" s="1">
        <v>0.1297641561</v>
      </c>
      <c r="S8" s="1">
        <v>7.9372540170000005E-2</v>
      </c>
      <c r="V8" s="1">
        <v>0.13728467559999999</v>
      </c>
      <c r="Y8" s="1">
        <v>0.2478141043</v>
      </c>
      <c r="AB8" s="1">
        <v>0.63159495330000004</v>
      </c>
      <c r="AE8" s="1">
        <v>0.32541974289999998</v>
      </c>
    </row>
    <row r="9" spans="1:33" x14ac:dyDescent="0.35">
      <c r="A9" s="1">
        <v>3.3080775819999998E-2</v>
      </c>
      <c r="D9" s="1">
        <v>9.5488731909999999E-2</v>
      </c>
      <c r="G9" s="1">
        <v>8.9859369509999995E-2</v>
      </c>
      <c r="J9" s="1">
        <v>4.9939391739999998E-2</v>
      </c>
      <c r="M9" s="1">
        <v>0.1134400919</v>
      </c>
      <c r="P9" s="1">
        <v>5.7429087089999997E-2</v>
      </c>
      <c r="S9" s="1">
        <v>5.1422426469999998E-2</v>
      </c>
      <c r="V9" s="1">
        <v>0.16978069749999999</v>
      </c>
      <c r="Y9" s="1">
        <v>0.1570565428</v>
      </c>
      <c r="AB9" s="1">
        <v>0.17108636320000001</v>
      </c>
      <c r="AE9" s="1">
        <v>0.40265138480000001</v>
      </c>
    </row>
    <row r="11" spans="1:33" x14ac:dyDescent="0.35">
      <c r="A11" s="1" t="s">
        <v>1</v>
      </c>
    </row>
    <row r="12" spans="1:33" x14ac:dyDescent="0.35">
      <c r="A12" s="1">
        <v>16.424389600000001</v>
      </c>
      <c r="B12">
        <f>A12+A16</f>
        <v>16.440095063000001</v>
      </c>
      <c r="C12">
        <f>A12-A16</f>
        <v>16.408684137000002</v>
      </c>
      <c r="D12" s="1">
        <v>15.63007855</v>
      </c>
      <c r="E12">
        <f>D12+D16</f>
        <v>15.807657791</v>
      </c>
      <c r="F12">
        <f>D12-D16</f>
        <v>15.452499309</v>
      </c>
      <c r="G12" s="1">
        <v>15.905393180000001</v>
      </c>
      <c r="H12">
        <f>G12+G16</f>
        <v>15.933956964</v>
      </c>
      <c r="I12">
        <f>G12-G16</f>
        <v>15.876829396000002</v>
      </c>
      <c r="J12" s="1">
        <v>15.966458080000001</v>
      </c>
      <c r="K12">
        <f>J12+J16</f>
        <v>16.010720951</v>
      </c>
      <c r="L12">
        <f>J12-J16</f>
        <v>15.922195209</v>
      </c>
      <c r="M12" s="1">
        <v>15.806308509999999</v>
      </c>
      <c r="N12">
        <f>M12+M16</f>
        <v>15.972601249999999</v>
      </c>
      <c r="O12">
        <f>M12-M16</f>
        <v>15.64001577</v>
      </c>
      <c r="P12" s="1">
        <v>15.647233010000001</v>
      </c>
      <c r="Q12">
        <f>P12+P16</f>
        <v>15.697306326000001</v>
      </c>
      <c r="R12">
        <f>P12-P16</f>
        <v>15.597159694</v>
      </c>
      <c r="S12" s="1">
        <v>16.119581700000001</v>
      </c>
      <c r="T12">
        <f>S12+S16</f>
        <v>16.149647074000001</v>
      </c>
      <c r="U12">
        <f>S12-S16</f>
        <v>16.089516326000002</v>
      </c>
      <c r="V12" s="1">
        <v>15.49309015</v>
      </c>
      <c r="W12">
        <f>V12+V16</f>
        <v>15.562314491</v>
      </c>
      <c r="X12">
        <f>V12-V16</f>
        <v>15.423865809</v>
      </c>
      <c r="Y12" s="1">
        <v>14.83816195</v>
      </c>
      <c r="Z12">
        <f>Y12+Y16</f>
        <v>14.913969627</v>
      </c>
      <c r="AA12">
        <f>Y12-Y16</f>
        <v>14.762354273</v>
      </c>
      <c r="AB12" s="1">
        <v>14.963228579999999</v>
      </c>
      <c r="AC12">
        <f>AB12+AB16</f>
        <v>15.083314713999998</v>
      </c>
      <c r="AD12">
        <f>AB12-AB16</f>
        <v>14.843142446</v>
      </c>
      <c r="AE12" s="1">
        <v>15.36866498</v>
      </c>
      <c r="AF12">
        <f>AE12+AE16</f>
        <v>15.678389074</v>
      </c>
      <c r="AG12">
        <f>AE12-AE16</f>
        <v>15.058940886</v>
      </c>
    </row>
    <row r="13" spans="1:33" x14ac:dyDescent="0.35">
      <c r="A13" s="1">
        <v>3.9736948010000002</v>
      </c>
      <c r="B13">
        <f>A13+A17</f>
        <v>4.0921030460000001</v>
      </c>
      <c r="C13">
        <f>A13-A17</f>
        <v>3.8552865560000003</v>
      </c>
      <c r="D13" s="1">
        <v>3.4747671410000001</v>
      </c>
      <c r="E13">
        <f>D13+D17</f>
        <v>3.762022209</v>
      </c>
      <c r="F13">
        <f>D13-D17</f>
        <v>3.1875120730000002</v>
      </c>
      <c r="G13" s="1">
        <v>4.232208967</v>
      </c>
      <c r="H13">
        <f>G13+G17</f>
        <v>4.4479348989999998</v>
      </c>
      <c r="I13">
        <f>G13-G17</f>
        <v>4.0164830350000003</v>
      </c>
      <c r="J13" s="1">
        <v>4.3308392759999998</v>
      </c>
      <c r="K13">
        <f>J13+J17</f>
        <v>4.498618316</v>
      </c>
      <c r="L13">
        <f>J13-J17</f>
        <v>4.1630602359999997</v>
      </c>
      <c r="M13" s="1">
        <v>4.1534192560000003</v>
      </c>
      <c r="N13">
        <f>M13+M17</f>
        <v>4.799982354</v>
      </c>
      <c r="O13">
        <f>M13-M17</f>
        <v>3.5068561580000002</v>
      </c>
      <c r="P13" s="1">
        <v>4.4311825039999997</v>
      </c>
      <c r="Q13">
        <f>P13+P17</f>
        <v>4.6052842389999995</v>
      </c>
      <c r="R13">
        <f>P13-P17</f>
        <v>4.2570807689999999</v>
      </c>
      <c r="S13" s="1">
        <v>4.0014736060000002</v>
      </c>
      <c r="T13">
        <f>S13+S17</f>
        <v>4.1620838940000002</v>
      </c>
      <c r="U13">
        <f>S13-S17</f>
        <v>3.8408633180000002</v>
      </c>
      <c r="V13" s="1">
        <v>4.7076784370000002</v>
      </c>
      <c r="W13">
        <f>V13+V17</f>
        <v>5.2701798310000001</v>
      </c>
      <c r="X13">
        <f>V13-V17</f>
        <v>4.1451770430000003</v>
      </c>
      <c r="Y13" s="1">
        <v>4.3816028830000002</v>
      </c>
      <c r="Z13">
        <f>Y13+Y17</f>
        <v>5.0117866000000006</v>
      </c>
      <c r="AA13">
        <f>Y13-Y17</f>
        <v>3.7514191660000002</v>
      </c>
      <c r="AB13" s="1">
        <v>5.1357114020000001</v>
      </c>
      <c r="AC13">
        <f>AB13+AB17</f>
        <v>5.5977079200000004</v>
      </c>
      <c r="AD13">
        <f>AB13-AB17</f>
        <v>4.6737148839999998</v>
      </c>
      <c r="AE13" s="1">
        <v>5.9615473750000003</v>
      </c>
      <c r="AF13">
        <f>AE13+AE17</f>
        <v>6.7477326660000001</v>
      </c>
      <c r="AG13">
        <f>AE13-AE17</f>
        <v>5.1753620840000005</v>
      </c>
    </row>
    <row r="14" spans="1:33" x14ac:dyDescent="0.35">
      <c r="A14" s="1">
        <v>2.710234501</v>
      </c>
      <c r="B14">
        <f>A14+A17</f>
        <v>2.8286427459999999</v>
      </c>
      <c r="C14">
        <f>A14-A17</f>
        <v>2.5918262560000001</v>
      </c>
      <c r="D14" s="1">
        <v>2.633606935</v>
      </c>
      <c r="E14">
        <f>D14+D17</f>
        <v>2.9208620029999999</v>
      </c>
      <c r="F14">
        <f>D14-D17</f>
        <v>2.3463518670000001</v>
      </c>
      <c r="G14" s="1">
        <v>1.1127917919999999</v>
      </c>
      <c r="H14">
        <f>G14+G17</f>
        <v>1.3285177239999999</v>
      </c>
      <c r="I14">
        <f>G14-G17</f>
        <v>0.89706585999999988</v>
      </c>
      <c r="J14" s="1">
        <v>2.4038936909999999</v>
      </c>
      <c r="K14">
        <f>J14+J17</f>
        <v>2.571672731</v>
      </c>
      <c r="L14">
        <f>J14-J17</f>
        <v>2.2361146509999998</v>
      </c>
      <c r="M14" s="1">
        <v>3.2501405179999998</v>
      </c>
      <c r="N14">
        <f>M14+M17</f>
        <v>3.8967036159999999</v>
      </c>
      <c r="O14">
        <f>M14-M17</f>
        <v>2.6035774199999997</v>
      </c>
      <c r="P14" s="1">
        <v>2.6461128440000001</v>
      </c>
      <c r="Q14">
        <f>P14+P17</f>
        <v>2.8202145789999999</v>
      </c>
      <c r="R14">
        <f>P14-P17</f>
        <v>2.4720111090000003</v>
      </c>
      <c r="S14" s="1">
        <v>2.0294176039999998</v>
      </c>
      <c r="T14">
        <f>S14+S17</f>
        <v>2.1900278919999998</v>
      </c>
      <c r="U14">
        <f>S14-S17</f>
        <v>1.8688073159999998</v>
      </c>
      <c r="V14" s="1">
        <v>1.5285465309999999</v>
      </c>
      <c r="W14">
        <f>V14+V17</f>
        <v>2.0910479249999998</v>
      </c>
      <c r="X14">
        <f>V14-V17</f>
        <v>0.96604513699999994</v>
      </c>
      <c r="Y14" s="1">
        <v>2.0039532740000001</v>
      </c>
      <c r="Z14">
        <f>Y14+Y17</f>
        <v>2.6341369910000001</v>
      </c>
      <c r="AA14">
        <f>Y14-Y17</f>
        <v>1.3737695570000001</v>
      </c>
      <c r="AB14" s="1">
        <v>2.9339711589999999</v>
      </c>
      <c r="AC14">
        <f>AB14+AB17</f>
        <v>3.3959676769999998</v>
      </c>
      <c r="AD14">
        <f>AB14-AB17</f>
        <v>2.4719746410000001</v>
      </c>
      <c r="AE14" s="1">
        <v>1.904185027</v>
      </c>
      <c r="AF14">
        <f>AE14+AE17</f>
        <v>2.6903703180000003</v>
      </c>
      <c r="AG14">
        <f>AE14-AE17</f>
        <v>1.117999736</v>
      </c>
    </row>
    <row r="15" spans="1:33" x14ac:dyDescent="0.35">
      <c r="A15" s="1">
        <v>1.9291286510000001</v>
      </c>
      <c r="B15">
        <f>A15+A19</f>
        <v>1.9760221960000002</v>
      </c>
      <c r="C15">
        <f>A15-A19</f>
        <v>1.882235106</v>
      </c>
      <c r="D15" s="1">
        <v>1.8123989250000001</v>
      </c>
      <c r="E15">
        <f>D15+D19</f>
        <v>1.9394160890000001</v>
      </c>
      <c r="F15">
        <f>D15-D19</f>
        <v>1.6853817610000001</v>
      </c>
      <c r="G15" s="1">
        <v>1.950793743</v>
      </c>
      <c r="H15">
        <f>G15+G19</f>
        <v>2.0776979550000001</v>
      </c>
      <c r="I15">
        <f>G15-G19</f>
        <v>1.8238895310000001</v>
      </c>
      <c r="J15" s="1">
        <v>1.8962831499999999</v>
      </c>
      <c r="K15">
        <f>J15+J19</f>
        <v>1.9671311649999998</v>
      </c>
      <c r="L15">
        <f>J15-J19</f>
        <v>1.825435135</v>
      </c>
      <c r="M15" s="1">
        <v>2.2838308810000001</v>
      </c>
      <c r="N15">
        <f>M15+M19</f>
        <v>2.5164544879999999</v>
      </c>
      <c r="O15">
        <f>M15-M19</f>
        <v>2.0512072740000002</v>
      </c>
      <c r="P15" s="1">
        <v>2.0806237460000001</v>
      </c>
      <c r="Q15">
        <f>P15+P19</f>
        <v>2.1611316500000002</v>
      </c>
      <c r="R15">
        <f>P15-P19</f>
        <v>2.000115842</v>
      </c>
      <c r="S15" s="1">
        <v>1.67382282</v>
      </c>
      <c r="T15">
        <f>S15+S19</f>
        <v>1.7472278450000001</v>
      </c>
      <c r="U15">
        <f>S15-S19</f>
        <v>1.600417795</v>
      </c>
      <c r="V15" s="1">
        <v>1.9349431989999999</v>
      </c>
      <c r="W15">
        <f>V15+V19</f>
        <v>2.1742789579999999</v>
      </c>
      <c r="X15">
        <f>V15-V19</f>
        <v>1.6956074399999999</v>
      </c>
      <c r="Y15" s="1">
        <v>1.9068658350000001</v>
      </c>
      <c r="Z15">
        <f>Y15+Y19</f>
        <v>2.1382534670000002</v>
      </c>
      <c r="AA15">
        <f>Y15-Y19</f>
        <v>1.6754782029999999</v>
      </c>
      <c r="AB15" s="1">
        <v>1.719951749</v>
      </c>
      <c r="AC15">
        <f>AB15+AB19</f>
        <v>1.95996729</v>
      </c>
      <c r="AD15">
        <f>AB15-AB19</f>
        <v>1.479936208</v>
      </c>
      <c r="AE15" s="1">
        <v>1.366675377</v>
      </c>
      <c r="AF15">
        <f>AE15+AE19</f>
        <v>1.8473292909999999</v>
      </c>
      <c r="AG15">
        <f>AE15-AE19</f>
        <v>0.88602146299999995</v>
      </c>
    </row>
    <row r="16" spans="1:33" x14ac:dyDescent="0.35">
      <c r="A16" s="1">
        <v>1.5705462999999999E-2</v>
      </c>
      <c r="D16" s="1">
        <v>0.177579241</v>
      </c>
      <c r="G16" s="1">
        <v>2.8563783999999998E-2</v>
      </c>
      <c r="J16" s="1">
        <v>4.4262871000000002E-2</v>
      </c>
      <c r="M16" s="1">
        <v>0.16629273999999999</v>
      </c>
      <c r="P16" s="1">
        <v>5.0073316E-2</v>
      </c>
      <c r="S16" s="1">
        <v>3.0065373999999999E-2</v>
      </c>
      <c r="V16" s="1">
        <v>6.9224340999999995E-2</v>
      </c>
      <c r="Y16" s="1">
        <v>7.5807677000000004E-2</v>
      </c>
      <c r="AB16" s="1">
        <v>0.120086134</v>
      </c>
      <c r="AE16" s="1">
        <v>0.30972409400000001</v>
      </c>
    </row>
    <row r="17" spans="1:33" x14ac:dyDescent="0.35">
      <c r="A17" s="1">
        <v>0.118408245</v>
      </c>
      <c r="D17" s="1">
        <v>0.287255068</v>
      </c>
      <c r="G17" s="1">
        <v>0.21572593200000001</v>
      </c>
      <c r="J17" s="1">
        <v>0.16777903999999999</v>
      </c>
      <c r="M17" s="1">
        <v>0.646563098</v>
      </c>
      <c r="P17" s="1">
        <v>0.17410173500000001</v>
      </c>
      <c r="S17" s="1">
        <v>0.16061028799999999</v>
      </c>
      <c r="V17" s="1">
        <v>0.56250139399999999</v>
      </c>
      <c r="Y17" s="1">
        <v>0.63018371699999998</v>
      </c>
      <c r="AB17" s="1">
        <v>0.46199651800000002</v>
      </c>
      <c r="AE17" s="1">
        <v>0.78618529100000001</v>
      </c>
    </row>
    <row r="18" spans="1:33" x14ac:dyDescent="0.35">
      <c r="A18" s="1">
        <v>6.7015635000000004E-2</v>
      </c>
      <c r="D18" s="1">
        <v>0.58630688099999995</v>
      </c>
      <c r="G18" s="1">
        <v>5.9517322999999997E-2</v>
      </c>
      <c r="J18" s="1">
        <v>0.17704387499999999</v>
      </c>
      <c r="M18" s="1">
        <v>0.965935922</v>
      </c>
      <c r="P18" s="1">
        <v>0.18889071299999999</v>
      </c>
      <c r="S18" s="1">
        <v>0.111305871</v>
      </c>
      <c r="V18" s="1">
        <v>0.170823955</v>
      </c>
      <c r="Y18" s="1">
        <v>0.32233659199999998</v>
      </c>
      <c r="AB18" s="1">
        <v>0.67936330199999995</v>
      </c>
      <c r="AE18" s="1">
        <v>0.43261150599999998</v>
      </c>
    </row>
    <row r="19" spans="1:33" x14ac:dyDescent="0.35">
      <c r="A19" s="1">
        <v>4.6893545000000002E-2</v>
      </c>
      <c r="D19" s="1">
        <v>0.12701716399999999</v>
      </c>
      <c r="G19" s="1">
        <v>0.12690421199999999</v>
      </c>
      <c r="J19" s="1">
        <v>7.0848015E-2</v>
      </c>
      <c r="M19" s="1">
        <v>0.23262360700000001</v>
      </c>
      <c r="P19" s="1">
        <v>8.0507904000000005E-2</v>
      </c>
      <c r="S19" s="1">
        <v>7.3405024999999999E-2</v>
      </c>
      <c r="V19" s="1">
        <v>0.23933575900000001</v>
      </c>
      <c r="Y19" s="1">
        <v>0.23138763200000001</v>
      </c>
      <c r="AB19" s="1">
        <v>0.240015541</v>
      </c>
      <c r="AE19" s="1">
        <v>0.48065391400000002</v>
      </c>
    </row>
    <row r="21" spans="1:33" x14ac:dyDescent="0.35">
      <c r="A21" s="1" t="s">
        <v>2</v>
      </c>
    </row>
    <row r="22" spans="1:33" x14ac:dyDescent="0.35">
      <c r="A22" s="1">
        <v>16.43207073</v>
      </c>
      <c r="B22">
        <f>A22+A26</f>
        <v>16.520500488669999</v>
      </c>
      <c r="C22">
        <f>A22-A26</f>
        <v>16.34364097133</v>
      </c>
      <c r="D22" s="1">
        <v>15.45696497</v>
      </c>
      <c r="E22">
        <f>D22+D26</f>
        <v>15.9500438727</v>
      </c>
      <c r="F22">
        <f>D22-D26</f>
        <v>14.963886067299999</v>
      </c>
      <c r="G22" s="1">
        <v>15.90948081</v>
      </c>
      <c r="H22">
        <f>G22+G26</f>
        <v>16.00502529513</v>
      </c>
      <c r="I22">
        <f>G22-G26</f>
        <v>15.813936324869999</v>
      </c>
      <c r="J22" s="1">
        <v>15.871792320000001</v>
      </c>
      <c r="K22">
        <f>J22+J26</f>
        <v>16.0203166075</v>
      </c>
      <c r="L22">
        <f>J22-J26</f>
        <v>15.7232680325</v>
      </c>
      <c r="M22" s="1">
        <v>15.8119061</v>
      </c>
      <c r="N22">
        <f>M22+M26</f>
        <v>16.2958368382</v>
      </c>
      <c r="O22">
        <f>M22-M26</f>
        <v>15.3279753618</v>
      </c>
      <c r="P22" s="1">
        <v>15.724308069999999</v>
      </c>
      <c r="Q22">
        <f>P22+P26</f>
        <v>15.8927751661</v>
      </c>
      <c r="R22">
        <f>P22-P26</f>
        <v>15.555840973899999</v>
      </c>
      <c r="S22" s="1">
        <v>16.08496225</v>
      </c>
      <c r="T22">
        <f>S22+S26</f>
        <v>16.180545249000001</v>
      </c>
      <c r="U22">
        <f>S22-S26</f>
        <v>15.989379251000001</v>
      </c>
      <c r="V22" s="1">
        <v>14.82395077</v>
      </c>
      <c r="W22">
        <f>V22+V26</f>
        <v>15.0706512635</v>
      </c>
      <c r="X22">
        <f>V22-V26</f>
        <v>14.577250276499999</v>
      </c>
      <c r="Y22" s="1">
        <v>14.78333473</v>
      </c>
      <c r="Z22">
        <f>Y22+Y26</f>
        <v>15.0426574032</v>
      </c>
      <c r="AA22">
        <f>Y22-Y26</f>
        <v>14.5240120568</v>
      </c>
      <c r="AB22" s="1">
        <v>15.014064550000001</v>
      </c>
      <c r="AC22">
        <f>AB22+AB26</f>
        <v>15.405841045300001</v>
      </c>
      <c r="AD22">
        <f>AB22-AB26</f>
        <v>14.6222880547</v>
      </c>
      <c r="AE22" s="1">
        <v>15.994587900000001</v>
      </c>
      <c r="AF22">
        <f>AE22+AE26</f>
        <v>16.792318103300001</v>
      </c>
      <c r="AG22">
        <f>AE22-AE26</f>
        <v>15.1968576967</v>
      </c>
    </row>
    <row r="23" spans="1:33" x14ac:dyDescent="0.35">
      <c r="A23" s="1">
        <v>4.3758046630000003</v>
      </c>
      <c r="B23">
        <f>A23+A27</f>
        <v>5.3648045461000002</v>
      </c>
      <c r="C23">
        <f>A23-A27</f>
        <v>3.3868047799000003</v>
      </c>
      <c r="D23" s="1">
        <v>3.66436553</v>
      </c>
      <c r="E23">
        <f>D23+D27</f>
        <v>4.7310086380000005</v>
      </c>
      <c r="F23">
        <f>D23-D27</f>
        <v>2.5977224219999999</v>
      </c>
      <c r="G23" s="1">
        <v>4.314813107</v>
      </c>
      <c r="H23">
        <f>G23+G27</f>
        <v>5.0638773537999997</v>
      </c>
      <c r="I23">
        <f>G23-G27</f>
        <v>3.5657488601999998</v>
      </c>
      <c r="J23" s="1">
        <v>4.2401317949999999</v>
      </c>
      <c r="K23">
        <f>J23+J27</f>
        <v>4.8664125793000004</v>
      </c>
      <c r="L23">
        <f>J23-J27</f>
        <v>3.6138510106999999</v>
      </c>
      <c r="M23" s="1">
        <v>4.3517668250000003</v>
      </c>
      <c r="N23">
        <f>M23+M27</f>
        <v>6.3986003470000004</v>
      </c>
      <c r="O23">
        <f>M23-M27</f>
        <v>2.3049333030000003</v>
      </c>
      <c r="P23" s="1">
        <v>4.370222032</v>
      </c>
      <c r="Q23">
        <f>P23+P27</f>
        <v>4.8892955966000002</v>
      </c>
      <c r="R23">
        <f>P23-P27</f>
        <v>3.8511484673999998</v>
      </c>
      <c r="S23" s="1">
        <v>3.9733293060000001</v>
      </c>
      <c r="T23">
        <f>S23+S27</f>
        <v>4.5051446863000004</v>
      </c>
      <c r="U23">
        <f>S23-S27</f>
        <v>3.4415139257000003</v>
      </c>
      <c r="V23" s="1">
        <v>4.1681020860000002</v>
      </c>
      <c r="W23">
        <f>V23+V27</f>
        <v>5.5974595430000003</v>
      </c>
      <c r="X23">
        <f>V23-V27</f>
        <v>2.7387446290000002</v>
      </c>
      <c r="Y23" s="1">
        <v>4.4621226790000001</v>
      </c>
      <c r="Z23">
        <f>Y23+Y27</f>
        <v>6.6102690450000008</v>
      </c>
      <c r="AA23">
        <f>Y23-Y27</f>
        <v>2.313976313</v>
      </c>
      <c r="AB23" s="1">
        <v>5.3168513769999999</v>
      </c>
      <c r="AC23">
        <f>AB23+AB27</f>
        <v>6.8690337760000002</v>
      </c>
      <c r="AD23">
        <f>AB23-AB27</f>
        <v>3.7646689779999996</v>
      </c>
      <c r="AE23" s="1">
        <v>20</v>
      </c>
      <c r="AF23">
        <f>AE23+AE27</f>
        <v>40.329168519999996</v>
      </c>
      <c r="AG23">
        <f>AE23-AE27</f>
        <v>-0.32916851999999963</v>
      </c>
    </row>
    <row r="24" spans="1:33" x14ac:dyDescent="0.35">
      <c r="A24" s="1">
        <v>3.2330894539999999</v>
      </c>
      <c r="B24">
        <f>A24+A27</f>
        <v>4.2220893370999999</v>
      </c>
      <c r="C24">
        <f>A24-A27</f>
        <v>2.2440895708999999</v>
      </c>
      <c r="D24" s="1">
        <v>2.1520342079999999</v>
      </c>
      <c r="E24">
        <f>D24+D27</f>
        <v>3.218677316</v>
      </c>
      <c r="F24">
        <f>D24-D27</f>
        <v>1.0853910999999998</v>
      </c>
      <c r="G24" s="1">
        <v>1.1761884309999999</v>
      </c>
      <c r="H24">
        <f>G24+G27</f>
        <v>1.9252526778000001</v>
      </c>
      <c r="I24">
        <f>G24-G27</f>
        <v>0.42712418419999987</v>
      </c>
      <c r="J24" s="1">
        <v>2.131048769</v>
      </c>
      <c r="K24">
        <f>J24+J27</f>
        <v>2.7573295533</v>
      </c>
      <c r="L24">
        <f>J24-J27</f>
        <v>1.5047679846999999</v>
      </c>
      <c r="M24" s="1">
        <v>3.2137884940000001</v>
      </c>
      <c r="N24">
        <f>M24+M27</f>
        <v>5.2606220160000001</v>
      </c>
      <c r="O24">
        <f>M24-M27</f>
        <v>1.1669549720000001</v>
      </c>
      <c r="P24" s="1">
        <v>3.0372528139999999</v>
      </c>
      <c r="Q24">
        <f>P24+P27</f>
        <v>3.5563263785999997</v>
      </c>
      <c r="R24">
        <f>P24-P27</f>
        <v>2.5181792494000002</v>
      </c>
      <c r="S24" s="1">
        <v>1.9227878979999999</v>
      </c>
      <c r="T24">
        <f>S24+S27</f>
        <v>2.4546032783</v>
      </c>
      <c r="U24">
        <f>S24-S27</f>
        <v>1.3909725176999999</v>
      </c>
      <c r="V24" s="1">
        <v>0.4916254766</v>
      </c>
      <c r="W24">
        <f>V24+V27</f>
        <v>1.9209829335999999</v>
      </c>
      <c r="X24">
        <f>V24-V27</f>
        <v>-0.93773198040000005</v>
      </c>
      <c r="Y24" s="1">
        <v>1.75153479</v>
      </c>
      <c r="Z24">
        <f>Y24+Y27</f>
        <v>3.8996811560000002</v>
      </c>
      <c r="AA24">
        <f>Y24-Y27</f>
        <v>-0.39661157600000019</v>
      </c>
      <c r="AB24" s="1">
        <v>3.253309904</v>
      </c>
      <c r="AC24">
        <f>AB24+AB27</f>
        <v>4.8054923030000003</v>
      </c>
      <c r="AD24">
        <f>AB24-AB27</f>
        <v>1.7011275049999999</v>
      </c>
      <c r="AE24" s="1">
        <v>2.5430605260000001</v>
      </c>
      <c r="AF24">
        <f>AE24+AE27</f>
        <v>22.872229046000001</v>
      </c>
      <c r="AG24">
        <f>AE24-AE27</f>
        <v>-17.786107993999998</v>
      </c>
    </row>
    <row r="25" spans="1:33" x14ac:dyDescent="0.35">
      <c r="A25" s="1">
        <v>1.9330334659999999</v>
      </c>
      <c r="B25">
        <f>A25+A29</f>
        <v>2.1731721463999998</v>
      </c>
      <c r="C25">
        <f>A25-A29</f>
        <v>1.6928947855999998</v>
      </c>
      <c r="D25" s="1">
        <v>1.8122501369999999</v>
      </c>
      <c r="E25">
        <f>D25+D29</f>
        <v>2.2828024338999997</v>
      </c>
      <c r="F25">
        <f>D25-D29</f>
        <v>1.3416978400999999</v>
      </c>
      <c r="G25" s="1">
        <v>1.9653177260000001</v>
      </c>
      <c r="H25">
        <f>G25+G29</f>
        <v>2.4062807113</v>
      </c>
      <c r="I25">
        <f>G25-G29</f>
        <v>1.5243547407000002</v>
      </c>
      <c r="J25" s="1">
        <v>1.9091013670000001</v>
      </c>
      <c r="K25">
        <f>J25+J29</f>
        <v>2.1468827210999999</v>
      </c>
      <c r="L25">
        <f>J25-J29</f>
        <v>1.6713200129000001</v>
      </c>
      <c r="M25" s="1">
        <v>2.2842954400000002</v>
      </c>
      <c r="N25">
        <f>M25+M29</f>
        <v>3.0690158062000004</v>
      </c>
      <c r="O25">
        <f>M25-M29</f>
        <v>1.4995750738000002</v>
      </c>
      <c r="P25" s="1">
        <v>2.0256347360000002</v>
      </c>
      <c r="Q25">
        <f>P25+P29</f>
        <v>2.2938336020000003</v>
      </c>
      <c r="R25">
        <f>P25-P29</f>
        <v>1.7574358700000001</v>
      </c>
      <c r="S25" s="1">
        <v>1.642578471</v>
      </c>
      <c r="T25">
        <f>S25+S29</f>
        <v>1.8883882205</v>
      </c>
      <c r="U25">
        <f>S25-S29</f>
        <v>1.3967687215</v>
      </c>
      <c r="V25" s="1">
        <v>1.6899633409999999</v>
      </c>
      <c r="W25">
        <f>V25+V29</f>
        <v>2.4980237756000001</v>
      </c>
      <c r="X25">
        <f>V25-V29</f>
        <v>0.88190290639999991</v>
      </c>
      <c r="Y25" s="1">
        <v>1.883602142</v>
      </c>
      <c r="Z25">
        <f>Y25+Y29</f>
        <v>2.6690033674000002</v>
      </c>
      <c r="AA25">
        <f>Y25-Y29</f>
        <v>1.0982009166</v>
      </c>
      <c r="AB25" s="1">
        <v>1.7133026119999999</v>
      </c>
      <c r="AC25">
        <f>AB25+AB29</f>
        <v>2.5239111167999999</v>
      </c>
      <c r="AD25">
        <f>AB25-AB29</f>
        <v>0.90269410719999987</v>
      </c>
      <c r="AE25" s="1">
        <v>3.2131652829999999</v>
      </c>
      <c r="AF25">
        <f>AE25+AE29</f>
        <v>13.081415877</v>
      </c>
      <c r="AG25">
        <f>AE25-AE29</f>
        <v>-6.6550853109999988</v>
      </c>
    </row>
    <row r="26" spans="1:33" x14ac:dyDescent="0.35">
      <c r="A26" s="1">
        <v>8.8429758669999997E-2</v>
      </c>
      <c r="D26" s="1">
        <v>0.49307890269999999</v>
      </c>
      <c r="G26" s="1">
        <v>9.5544485129999995E-2</v>
      </c>
      <c r="J26" s="1">
        <v>0.14852428749999999</v>
      </c>
      <c r="M26" s="1">
        <v>0.48393073819999999</v>
      </c>
      <c r="P26" s="1">
        <v>0.16846709609999999</v>
      </c>
      <c r="S26" s="1">
        <v>9.5582999000000002E-2</v>
      </c>
      <c r="V26" s="1">
        <v>0.24670049350000001</v>
      </c>
      <c r="Y26" s="1">
        <v>0.25932267320000002</v>
      </c>
      <c r="AB26" s="1">
        <v>0.39177649530000003</v>
      </c>
      <c r="AE26" s="1">
        <v>0.7977302033</v>
      </c>
    </row>
    <row r="27" spans="1:33" x14ac:dyDescent="0.35">
      <c r="A27" s="1">
        <v>0.98899988309999998</v>
      </c>
      <c r="D27" s="1">
        <v>1.0666431080000001</v>
      </c>
      <c r="G27" s="1">
        <v>0.74906424680000006</v>
      </c>
      <c r="J27" s="1">
        <v>0.6262807843</v>
      </c>
      <c r="M27" s="1">
        <v>2.046833522</v>
      </c>
      <c r="P27" s="1">
        <v>0.51907356459999998</v>
      </c>
      <c r="S27" s="1">
        <v>0.53181538029999997</v>
      </c>
      <c r="V27" s="1">
        <v>1.4293574570000001</v>
      </c>
      <c r="Y27" s="1">
        <v>2.1481463660000002</v>
      </c>
      <c r="AB27" s="1">
        <v>1.5521823990000001</v>
      </c>
      <c r="AE27" s="1">
        <v>20.32916852</v>
      </c>
    </row>
    <row r="28" spans="1:33" x14ac:dyDescent="0.35">
      <c r="A28" s="1">
        <v>0.37683327560000002</v>
      </c>
      <c r="D28" s="1">
        <v>1.403448705</v>
      </c>
      <c r="G28" s="1">
        <v>0.21827972940000001</v>
      </c>
      <c r="J28" s="1">
        <v>0.52044331219999995</v>
      </c>
      <c r="M28" s="1">
        <v>2.7699533719999998</v>
      </c>
      <c r="P28" s="1">
        <v>0.75002270469999999</v>
      </c>
      <c r="S28" s="1">
        <v>0.33023368209999998</v>
      </c>
      <c r="V28" s="1">
        <v>0.1954653231</v>
      </c>
      <c r="Y28" s="1">
        <v>0.95084593699999997</v>
      </c>
      <c r="AB28" s="1">
        <v>2.4559535779999999</v>
      </c>
      <c r="AE28" s="1">
        <v>1.868526007</v>
      </c>
    </row>
    <row r="29" spans="1:33" x14ac:dyDescent="0.35">
      <c r="A29" s="1">
        <v>0.2401386804</v>
      </c>
      <c r="D29" s="1">
        <v>0.4705522969</v>
      </c>
      <c r="G29" s="1">
        <v>0.4409629853</v>
      </c>
      <c r="J29" s="1">
        <v>0.23778135410000001</v>
      </c>
      <c r="M29" s="1">
        <v>0.78472036619999996</v>
      </c>
      <c r="P29" s="1">
        <v>0.26819886599999998</v>
      </c>
      <c r="S29" s="1">
        <v>0.24580974950000001</v>
      </c>
      <c r="V29" s="1">
        <v>0.80806043459999999</v>
      </c>
      <c r="Y29" s="1">
        <v>0.78540122540000001</v>
      </c>
      <c r="AB29" s="1">
        <v>0.81060850480000002</v>
      </c>
      <c r="AE29" s="1">
        <v>9.8682505939999992</v>
      </c>
    </row>
    <row r="31" spans="1:33" x14ac:dyDescent="0.35">
      <c r="A31" s="1" t="s">
        <v>3</v>
      </c>
    </row>
    <row r="32" spans="1:33" x14ac:dyDescent="0.35">
      <c r="A32" s="1">
        <v>16.41717032</v>
      </c>
      <c r="B32">
        <f>A32+A36</f>
        <v>16.461736398719999</v>
      </c>
      <c r="C32">
        <f>A32-A36</f>
        <v>16.372604241280001</v>
      </c>
      <c r="D32" s="1">
        <v>15.46245122</v>
      </c>
      <c r="E32">
        <f>D32+D36</f>
        <v>15.659623552699999</v>
      </c>
      <c r="F32">
        <f>D32-D36</f>
        <v>15.265278887300001</v>
      </c>
      <c r="G32" s="1">
        <v>15.905318919999999</v>
      </c>
      <c r="H32">
        <f>G32+G36</f>
        <v>15.943128295799999</v>
      </c>
      <c r="I32">
        <f>G32-G36</f>
        <v>15.867509544199999</v>
      </c>
      <c r="J32" s="1">
        <v>15.90444744</v>
      </c>
      <c r="K32">
        <f>J32+J36</f>
        <v>15.96148165626</v>
      </c>
      <c r="L32">
        <f>J32-J36</f>
        <v>15.84741322374</v>
      </c>
      <c r="M32" s="1">
        <v>15.80877435</v>
      </c>
      <c r="N32">
        <f>M32+M36</f>
        <v>15.998110476000001</v>
      </c>
      <c r="O32">
        <f>M32-M36</f>
        <v>15.619438224</v>
      </c>
      <c r="P32" s="1">
        <v>15.74146986</v>
      </c>
      <c r="Q32">
        <f>P32+P36</f>
        <v>15.8049601192</v>
      </c>
      <c r="R32">
        <f>P32-P36</f>
        <v>15.677979600800001</v>
      </c>
      <c r="S32" s="1">
        <v>16.075501679999999</v>
      </c>
      <c r="T32">
        <f>S32+S36</f>
        <v>16.11212890557</v>
      </c>
      <c r="U32">
        <f>S32-S36</f>
        <v>16.038874454429997</v>
      </c>
      <c r="V32" s="1">
        <v>15.5095396</v>
      </c>
      <c r="W32">
        <f>V32+V36</f>
        <v>15.601086014250001</v>
      </c>
      <c r="X32">
        <f>V32-V36</f>
        <v>15.417993185749999</v>
      </c>
      <c r="Y32" s="1">
        <v>14.81216049</v>
      </c>
      <c r="Z32">
        <f>Y32+Y36</f>
        <v>14.913775342200001</v>
      </c>
      <c r="AA32">
        <f>Y32-Y36</f>
        <v>14.710545637799999</v>
      </c>
      <c r="AB32" s="1">
        <v>15.011789439999999</v>
      </c>
      <c r="AC32">
        <f>AB32+AB36</f>
        <v>15.165836373199999</v>
      </c>
      <c r="AD32">
        <f>AB32-AB36</f>
        <v>14.857742506799999</v>
      </c>
      <c r="AE32" s="1">
        <v>16.2063427</v>
      </c>
      <c r="AF32">
        <f>AE32+AE36</f>
        <v>16.4919939553</v>
      </c>
      <c r="AG32">
        <f>AE32-AE36</f>
        <v>15.920691444700001</v>
      </c>
    </row>
    <row r="33" spans="1:33" x14ac:dyDescent="0.35">
      <c r="A33" s="1">
        <v>4.8144280909999999</v>
      </c>
      <c r="B33">
        <f>A33+A37</f>
        <v>5.3599300433000003</v>
      </c>
      <c r="C33">
        <f>A33-A37</f>
        <v>4.2689261386999995</v>
      </c>
      <c r="D33" s="1">
        <v>3.6425042150000002</v>
      </c>
      <c r="E33">
        <f>D33+D37</f>
        <v>4.0708269964000001</v>
      </c>
      <c r="F33">
        <f>D33-D37</f>
        <v>3.2141814336000003</v>
      </c>
      <c r="G33" s="1">
        <v>4.290694952</v>
      </c>
      <c r="H33">
        <f>G33+G37</f>
        <v>4.5892332594000003</v>
      </c>
      <c r="I33">
        <f>G33-G37</f>
        <v>3.9921566446000001</v>
      </c>
      <c r="J33" s="1">
        <v>4.2275066380000004</v>
      </c>
      <c r="K33">
        <f>J33+J37</f>
        <v>4.4554525296000005</v>
      </c>
      <c r="L33">
        <f>J33-J37</f>
        <v>3.9995607464000003</v>
      </c>
      <c r="M33" s="1">
        <v>4.3390756850000001</v>
      </c>
      <c r="N33">
        <f>M33+M37</f>
        <v>5.1483980548000003</v>
      </c>
      <c r="O33">
        <f>M33-M37</f>
        <v>3.5297533151999998</v>
      </c>
      <c r="P33" s="1">
        <v>4.7457062600000004</v>
      </c>
      <c r="Q33">
        <f>P33+P37</f>
        <v>4.9592369853000005</v>
      </c>
      <c r="R33">
        <f>P33-P37</f>
        <v>4.5321755347000003</v>
      </c>
      <c r="S33" s="1">
        <v>3.8886545899999998</v>
      </c>
      <c r="T33">
        <f>S33+S37</f>
        <v>4.0877933229999996</v>
      </c>
      <c r="U33">
        <f>S33-S37</f>
        <v>3.689515857</v>
      </c>
      <c r="V33" s="1">
        <v>4.6063237189999997</v>
      </c>
      <c r="W33">
        <f>V33+V37</f>
        <v>5.3523082873999996</v>
      </c>
      <c r="X33">
        <f>V33-V37</f>
        <v>3.8603391505999998</v>
      </c>
      <c r="Y33" s="1">
        <v>4.6203659769999996</v>
      </c>
      <c r="Z33">
        <f>Y33+Y37</f>
        <v>5.5272062890999996</v>
      </c>
      <c r="AA33">
        <f>Y33-Y37</f>
        <v>3.7135256648999997</v>
      </c>
      <c r="AB33" s="1">
        <v>5.30443716</v>
      </c>
      <c r="AC33">
        <f>AB33+AB37</f>
        <v>5.9136238383999995</v>
      </c>
      <c r="AD33">
        <f>AB33-AB37</f>
        <v>4.6952504816000005</v>
      </c>
      <c r="AE33" s="1">
        <v>20</v>
      </c>
      <c r="AF33">
        <f>AE33+AE37</f>
        <v>22.634076534000002</v>
      </c>
      <c r="AG33">
        <f>AE33-AE37</f>
        <v>17.365923465999998</v>
      </c>
    </row>
    <row r="34" spans="1:33" x14ac:dyDescent="0.35">
      <c r="A34" s="1">
        <v>3.4257503599999999</v>
      </c>
      <c r="B34">
        <f>A34+A37</f>
        <v>3.9712523122999999</v>
      </c>
      <c r="C34">
        <f>A34-A37</f>
        <v>2.8802484076999999</v>
      </c>
      <c r="D34" s="1">
        <v>2.1853433290000002</v>
      </c>
      <c r="E34">
        <f>D34+D37</f>
        <v>2.6136661104000001</v>
      </c>
      <c r="F34">
        <f>D34-D37</f>
        <v>1.7570205476000003</v>
      </c>
      <c r="G34" s="1">
        <v>1.1756863259999999</v>
      </c>
      <c r="H34">
        <f>G34+G37</f>
        <v>1.4742246334</v>
      </c>
      <c r="I34">
        <f>G34-G37</f>
        <v>0.87714801859999991</v>
      </c>
      <c r="J34" s="1">
        <v>2.2452932219999999</v>
      </c>
      <c r="K34">
        <f>J34+J37</f>
        <v>2.4732391136</v>
      </c>
      <c r="L34">
        <f>J34-J37</f>
        <v>2.0173473303999998</v>
      </c>
      <c r="M34" s="1">
        <v>3.2031292539999998</v>
      </c>
      <c r="N34">
        <f>M34+M37</f>
        <v>4.0124516237999996</v>
      </c>
      <c r="O34">
        <f>M34-M37</f>
        <v>2.3938068842</v>
      </c>
      <c r="P34" s="1">
        <v>2.9592157750000001</v>
      </c>
      <c r="Q34">
        <f>P34+P37</f>
        <v>3.1727465003000002</v>
      </c>
      <c r="R34">
        <f>P34-P37</f>
        <v>2.7456850497</v>
      </c>
      <c r="S34" s="1">
        <v>1.8670097480000001</v>
      </c>
      <c r="T34">
        <f>S34+S37</f>
        <v>2.0661484809999999</v>
      </c>
      <c r="U34">
        <f>S34-S37</f>
        <v>1.667871015</v>
      </c>
      <c r="V34" s="1">
        <v>1.7238038330000001</v>
      </c>
      <c r="W34">
        <f>V34+V37</f>
        <v>2.4697884014000002</v>
      </c>
      <c r="X34">
        <f>V34-V37</f>
        <v>0.97781926460000002</v>
      </c>
      <c r="Y34" s="1">
        <v>1.8352267440000001</v>
      </c>
      <c r="Z34">
        <f>Y34+Y37</f>
        <v>2.7420670561000002</v>
      </c>
      <c r="AA34">
        <f>Y34-Y37</f>
        <v>0.92838643190000003</v>
      </c>
      <c r="AB34" s="1">
        <v>3.2421939370000001</v>
      </c>
      <c r="AC34">
        <f>AB34+AB37</f>
        <v>3.8513806154000001</v>
      </c>
      <c r="AD34">
        <f>AB34-AB37</f>
        <v>2.6330072586000002</v>
      </c>
      <c r="AE34" s="1">
        <v>2.9894031289999998</v>
      </c>
      <c r="AF34">
        <f>AE34+AE37</f>
        <v>5.6234796629999995</v>
      </c>
      <c r="AG34">
        <f>AE34-AE37</f>
        <v>0.35532659499999975</v>
      </c>
    </row>
    <row r="35" spans="1:33" x14ac:dyDescent="0.35">
      <c r="A35" s="1">
        <v>2.2089128489999998</v>
      </c>
      <c r="B35">
        <f>A35+A39</f>
        <v>2.3091794837999999</v>
      </c>
      <c r="C35">
        <f>A35-A39</f>
        <v>2.1086462141999998</v>
      </c>
      <c r="D35" s="1">
        <v>1.821296692</v>
      </c>
      <c r="E35">
        <f>D35+D39</f>
        <v>2.0064221419999999</v>
      </c>
      <c r="F35">
        <f>D35-D39</f>
        <v>1.6361712420000001</v>
      </c>
      <c r="G35" s="1">
        <v>1.965701342</v>
      </c>
      <c r="H35">
        <f>G35+G39</f>
        <v>2.1386318599999998</v>
      </c>
      <c r="I35">
        <f>G35-G39</f>
        <v>1.792770824</v>
      </c>
      <c r="J35" s="1">
        <v>1.91455555</v>
      </c>
      <c r="K35">
        <f>J35+J39</f>
        <v>2.00654817155</v>
      </c>
      <c r="L35">
        <f>J35-J39</f>
        <v>1.82256292845</v>
      </c>
      <c r="M35" s="1">
        <v>2.2834627630000002</v>
      </c>
      <c r="N35">
        <f>M35+M39</f>
        <v>2.5903006711000001</v>
      </c>
      <c r="O35">
        <f>M35-M39</f>
        <v>1.9766248549000003</v>
      </c>
      <c r="P35" s="1">
        <v>2.0388083460000002</v>
      </c>
      <c r="Q35">
        <f>P35+P39</f>
        <v>2.1462743206000003</v>
      </c>
      <c r="R35">
        <f>P35-P39</f>
        <v>1.9313423714000002</v>
      </c>
      <c r="S35" s="1">
        <v>1.616030697</v>
      </c>
      <c r="T35">
        <f>S35+S39</f>
        <v>1.7089547297600001</v>
      </c>
      <c r="U35">
        <f>S35-S39</f>
        <v>1.52310666424</v>
      </c>
      <c r="V35" s="1">
        <v>1.98903656</v>
      </c>
      <c r="W35">
        <f>V35+V39</f>
        <v>2.3142207539999999</v>
      </c>
      <c r="X35">
        <f>V35-V39</f>
        <v>1.663852366</v>
      </c>
      <c r="Y35" s="1">
        <v>1.9052999020000001</v>
      </c>
      <c r="Z35">
        <f>Y35+Y39</f>
        <v>2.2195850836000002</v>
      </c>
      <c r="AA35">
        <f>Y35-Y39</f>
        <v>1.5910147204</v>
      </c>
      <c r="AB35" s="1">
        <v>1.7167706490000001</v>
      </c>
      <c r="AC35">
        <f>AB35+AB39</f>
        <v>2.0339469948</v>
      </c>
      <c r="AD35">
        <f>AB35-AB39</f>
        <v>1.3995943032000002</v>
      </c>
      <c r="AE35" s="1">
        <v>2.9097776409999998</v>
      </c>
      <c r="AF35">
        <f>AE35+AE39</f>
        <v>4.4167956070000001</v>
      </c>
      <c r="AG35">
        <f>AE35-AE39</f>
        <v>1.4027596749999998</v>
      </c>
    </row>
    <row r="36" spans="1:33" x14ac:dyDescent="0.35">
      <c r="A36" s="1">
        <v>4.4566078719999999E-2</v>
      </c>
      <c r="D36" s="1">
        <v>0.19717233270000001</v>
      </c>
      <c r="G36" s="1">
        <v>3.7809375800000003E-2</v>
      </c>
      <c r="J36" s="1">
        <v>5.7034216259999999E-2</v>
      </c>
      <c r="M36" s="1">
        <v>0.18933612599999999</v>
      </c>
      <c r="P36" s="1">
        <v>6.3490259199999996E-2</v>
      </c>
      <c r="S36" s="1">
        <v>3.6627225569999998E-2</v>
      </c>
      <c r="V36" s="1">
        <v>9.1546414249999999E-2</v>
      </c>
      <c r="Y36" s="1">
        <v>0.10161485219999999</v>
      </c>
      <c r="AB36" s="1">
        <v>0.15404693320000001</v>
      </c>
      <c r="AE36" s="1">
        <v>0.28565125530000002</v>
      </c>
    </row>
    <row r="37" spans="1:33" x14ac:dyDescent="0.35">
      <c r="A37" s="1">
        <v>0.54550195229999998</v>
      </c>
      <c r="D37" s="1">
        <v>0.42832278140000002</v>
      </c>
      <c r="G37" s="1">
        <v>0.29853830739999998</v>
      </c>
      <c r="J37" s="1">
        <v>0.22794589160000001</v>
      </c>
      <c r="M37" s="1">
        <v>0.80932236980000005</v>
      </c>
      <c r="P37" s="1">
        <v>0.2135307253</v>
      </c>
      <c r="S37" s="1">
        <v>0.19913873300000001</v>
      </c>
      <c r="V37" s="1">
        <v>0.74598456840000005</v>
      </c>
      <c r="Y37" s="1">
        <v>0.90684031210000005</v>
      </c>
      <c r="AB37" s="1">
        <v>0.60918667839999996</v>
      </c>
      <c r="AE37" s="1">
        <v>2.6340765340000001</v>
      </c>
    </row>
    <row r="38" spans="1:33" x14ac:dyDescent="0.35">
      <c r="A38" s="1">
        <v>0.17392792609999999</v>
      </c>
      <c r="D38" s="1">
        <v>0.56781720089999999</v>
      </c>
      <c r="G38" s="1">
        <v>8.6109564299999997E-2</v>
      </c>
      <c r="J38" s="1">
        <v>0.21028930770000001</v>
      </c>
      <c r="M38" s="1">
        <v>1.0819122130000001</v>
      </c>
      <c r="P38" s="1">
        <v>0.27255882469999998</v>
      </c>
      <c r="S38" s="1">
        <v>0.1220954551</v>
      </c>
      <c r="V38" s="1">
        <v>0.25993741460000003</v>
      </c>
      <c r="Y38" s="1">
        <v>0.40038774240000002</v>
      </c>
      <c r="AB38" s="1">
        <v>0.96235983979999995</v>
      </c>
      <c r="AE38" s="1">
        <v>0.7912182659</v>
      </c>
    </row>
    <row r="39" spans="1:33" x14ac:dyDescent="0.35">
      <c r="A39" s="1">
        <v>0.1002666348</v>
      </c>
      <c r="D39" s="1">
        <v>0.18512545</v>
      </c>
      <c r="G39" s="1">
        <v>0.17293051800000001</v>
      </c>
      <c r="J39" s="1">
        <v>9.1992621550000001E-2</v>
      </c>
      <c r="M39" s="1">
        <v>0.3068379081</v>
      </c>
      <c r="P39" s="1">
        <v>0.1074659746</v>
      </c>
      <c r="S39" s="1">
        <v>9.2924032759999997E-2</v>
      </c>
      <c r="V39" s="1">
        <v>0.32518419399999998</v>
      </c>
      <c r="Y39" s="1">
        <v>0.31428518160000002</v>
      </c>
      <c r="AB39" s="1">
        <v>0.31717634579999998</v>
      </c>
      <c r="AE39" s="1">
        <v>1.507017966</v>
      </c>
    </row>
    <row r="41" spans="1:33" x14ac:dyDescent="0.35">
      <c r="A41" s="1" t="s">
        <v>4</v>
      </c>
    </row>
    <row r="42" spans="1:33" x14ac:dyDescent="0.35">
      <c r="A42" s="1">
        <v>16.381330609999999</v>
      </c>
      <c r="B42">
        <f>A42+A46</f>
        <v>16.414993531</v>
      </c>
      <c r="C42">
        <f>A42-A46</f>
        <v>16.347667688999998</v>
      </c>
      <c r="D42" s="1">
        <v>15.449353929999999</v>
      </c>
      <c r="E42">
        <f>D42+D46</f>
        <v>15.641469245</v>
      </c>
      <c r="F42">
        <f>D42-D46</f>
        <v>15.257238614999999</v>
      </c>
      <c r="G42" s="1">
        <v>15.90271235</v>
      </c>
      <c r="H42">
        <f>G42+G46</f>
        <v>15.938719569</v>
      </c>
      <c r="I42">
        <f>G42-G46</f>
        <v>15.866705131</v>
      </c>
      <c r="J42" s="1">
        <v>15.90458709</v>
      </c>
      <c r="K42">
        <f>J42+J46</f>
        <v>15.961663343</v>
      </c>
      <c r="L42">
        <f>J42-J46</f>
        <v>15.847510837</v>
      </c>
      <c r="M42" s="1">
        <v>15.80879283</v>
      </c>
      <c r="N42">
        <f>M42+M46</f>
        <v>15.998379622</v>
      </c>
      <c r="O42">
        <f>M42-M46</f>
        <v>15.619206038</v>
      </c>
      <c r="P42" s="1">
        <v>15.741784689999999</v>
      </c>
      <c r="Q42">
        <f>P42+P46</f>
        <v>15.805343808</v>
      </c>
      <c r="R42">
        <f>P42-P46</f>
        <v>15.678225571999999</v>
      </c>
      <c r="S42" s="1">
        <v>16.07543197</v>
      </c>
      <c r="T42">
        <f>S42+S46</f>
        <v>16.112185504999999</v>
      </c>
      <c r="U42">
        <f>S42-S46</f>
        <v>16.038678435000001</v>
      </c>
      <c r="V42" s="1">
        <v>15.509395120000001</v>
      </c>
      <c r="W42">
        <f>V42+V46</f>
        <v>15.600797325</v>
      </c>
      <c r="X42">
        <f>V42-V46</f>
        <v>15.417992915000001</v>
      </c>
      <c r="Y42" s="1">
        <v>14.80639839</v>
      </c>
      <c r="Z42">
        <f>Y42+Y46</f>
        <v>14.907856905999999</v>
      </c>
      <c r="AA42">
        <f>Y42-Y46</f>
        <v>14.704939874000001</v>
      </c>
      <c r="AB42" s="1">
        <v>15.01178217</v>
      </c>
      <c r="AC42">
        <f>AB42+AB46</f>
        <v>15.166059178999999</v>
      </c>
      <c r="AD42">
        <f>AB42-AB46</f>
        <v>14.857505161000001</v>
      </c>
      <c r="AE42" s="1">
        <v>16.209461449999999</v>
      </c>
      <c r="AF42">
        <f>AE42+AE46</f>
        <v>16.494823287999999</v>
      </c>
      <c r="AG42">
        <f>AE42-AE46</f>
        <v>15.924099611999999</v>
      </c>
    </row>
    <row r="43" spans="1:33" x14ac:dyDescent="0.35">
      <c r="A43" s="1">
        <v>4.7657705249999998</v>
      </c>
      <c r="B43">
        <f>A43+A47</f>
        <v>5.1430531219999995</v>
      </c>
      <c r="C43">
        <f>A43-A47</f>
        <v>4.388487928</v>
      </c>
      <c r="D43" s="1">
        <v>3.6882333460000001</v>
      </c>
      <c r="E43">
        <f>D43+D47</f>
        <v>4.1082662010000002</v>
      </c>
      <c r="F43">
        <f>D43-D47</f>
        <v>3.268200491</v>
      </c>
      <c r="G43" s="1">
        <v>4.3505671320000001</v>
      </c>
      <c r="H43">
        <f>G43+G47</f>
        <v>4.6529884670000001</v>
      </c>
      <c r="I43">
        <f>G43-G47</f>
        <v>4.0481457970000001</v>
      </c>
      <c r="J43" s="1">
        <v>4.2189898489999997</v>
      </c>
      <c r="K43">
        <f>J43+J47</f>
        <v>4.445905561</v>
      </c>
      <c r="L43">
        <f>J43-J47</f>
        <v>3.9920741369999999</v>
      </c>
      <c r="M43" s="1">
        <v>4.3402384539999996</v>
      </c>
      <c r="N43">
        <f>M43+M47</f>
        <v>5.1483560939999995</v>
      </c>
      <c r="O43">
        <f>M43-M47</f>
        <v>3.5321208139999998</v>
      </c>
      <c r="P43" s="1">
        <v>4.7464456559999997</v>
      </c>
      <c r="Q43">
        <f>P43+P47</f>
        <v>4.9601068999999995</v>
      </c>
      <c r="R43">
        <f>P43-P47</f>
        <v>4.5327844119999998</v>
      </c>
      <c r="S43" s="1">
        <v>3.8969970250000001</v>
      </c>
      <c r="T43">
        <f>S43+S47</f>
        <v>4.097264</v>
      </c>
      <c r="U43">
        <f>S43-S47</f>
        <v>3.6967300500000002</v>
      </c>
      <c r="V43" s="1">
        <v>4.6199015269999997</v>
      </c>
      <c r="W43">
        <f>V43+V47</f>
        <v>5.3676122749999999</v>
      </c>
      <c r="X43">
        <f>V43-V47</f>
        <v>3.8721907789999994</v>
      </c>
      <c r="Y43" s="1">
        <v>4.5093471410000001</v>
      </c>
      <c r="Z43">
        <f>Y43+Y47</f>
        <v>5.3797095280000002</v>
      </c>
      <c r="AA43">
        <f>Y43-Y47</f>
        <v>3.638984754</v>
      </c>
      <c r="AB43" s="1">
        <v>5.3043415549999997</v>
      </c>
      <c r="AC43">
        <f>AB43+AB47</f>
        <v>5.9144359350000002</v>
      </c>
      <c r="AD43">
        <f>AB43-AB47</f>
        <v>4.6942471749999992</v>
      </c>
      <c r="AE43" s="1">
        <v>20</v>
      </c>
      <c r="AF43">
        <f>AE43+AE47</f>
        <v>22.581572586</v>
      </c>
      <c r="AG43">
        <f>AE43-AE47</f>
        <v>17.418427414</v>
      </c>
    </row>
    <row r="44" spans="1:33" x14ac:dyDescent="0.35">
      <c r="A44" s="1">
        <v>3.2734399380000001</v>
      </c>
      <c r="B44">
        <f>A44+A47</f>
        <v>3.6507225349999999</v>
      </c>
      <c r="C44">
        <f>A44-A47</f>
        <v>2.8961573410000003</v>
      </c>
      <c r="D44" s="1">
        <v>2.1378398669999998</v>
      </c>
      <c r="E44">
        <f>D44+D47</f>
        <v>2.5578727219999999</v>
      </c>
      <c r="F44">
        <f>D44-D47</f>
        <v>1.7178070119999997</v>
      </c>
      <c r="G44" s="1">
        <v>1.1618798560000001</v>
      </c>
      <c r="H44">
        <f>G44+G47</f>
        <v>1.4643011910000001</v>
      </c>
      <c r="I44">
        <f>G44-G47</f>
        <v>0.85945852100000009</v>
      </c>
      <c r="J44" s="1">
        <v>2.243941113</v>
      </c>
      <c r="K44">
        <f>J44+J47</f>
        <v>2.4708568249999998</v>
      </c>
      <c r="L44">
        <f>J44-J47</f>
        <v>2.0170254010000002</v>
      </c>
      <c r="M44" s="1">
        <v>3.202852719</v>
      </c>
      <c r="N44">
        <f>M44+M47</f>
        <v>4.0109703589999999</v>
      </c>
      <c r="O44">
        <f>M44-M47</f>
        <v>2.3947350790000002</v>
      </c>
      <c r="P44" s="1">
        <v>2.9599857140000001</v>
      </c>
      <c r="Q44">
        <f>P44+P47</f>
        <v>3.173646958</v>
      </c>
      <c r="R44">
        <f>P44-P47</f>
        <v>2.7463244700000002</v>
      </c>
      <c r="S44" s="1">
        <v>1.8673411529999999</v>
      </c>
      <c r="T44">
        <f>S44+S47</f>
        <v>2.0676081279999998</v>
      </c>
      <c r="U44">
        <f>S44-S47</f>
        <v>1.667074178</v>
      </c>
      <c r="V44" s="1">
        <v>1.7166901569999999</v>
      </c>
      <c r="W44">
        <f>V44+V47</f>
        <v>2.4644009049999998</v>
      </c>
      <c r="X44">
        <f>V44-V47</f>
        <v>0.9689794089999999</v>
      </c>
      <c r="Y44" s="1">
        <v>1.8484171439999999</v>
      </c>
      <c r="Z44">
        <f>Y44+Y47</f>
        <v>2.718779531</v>
      </c>
      <c r="AA44">
        <f>Y44-Y47</f>
        <v>0.97805475699999989</v>
      </c>
      <c r="AB44" s="1">
        <v>3.242171489</v>
      </c>
      <c r="AC44">
        <f>AB44+AB47</f>
        <v>3.852265869</v>
      </c>
      <c r="AD44">
        <f>AB44-AB47</f>
        <v>2.6320771089999999</v>
      </c>
      <c r="AE44" s="1">
        <v>2.9944122019999999</v>
      </c>
      <c r="AF44">
        <f>AE44+AE47</f>
        <v>5.5759847879999995</v>
      </c>
      <c r="AG44">
        <f>AE44-AE47</f>
        <v>0.41283961599999985</v>
      </c>
    </row>
    <row r="45" spans="1:33" x14ac:dyDescent="0.35">
      <c r="A45" s="1">
        <v>2.1731528939999998</v>
      </c>
      <c r="B45">
        <f>A45+A49</f>
        <v>2.259992016</v>
      </c>
      <c r="C45">
        <f>A45-A49</f>
        <v>2.0863137719999996</v>
      </c>
      <c r="D45" s="1">
        <v>1.816082478</v>
      </c>
      <c r="E45">
        <f>D45+D49</f>
        <v>2.0029267769999999</v>
      </c>
      <c r="F45">
        <f>D45-D49</f>
        <v>1.6292381790000001</v>
      </c>
      <c r="G45" s="1">
        <v>1.9276490209999999</v>
      </c>
      <c r="H45">
        <f>G45+G49</f>
        <v>2.103134732</v>
      </c>
      <c r="I45">
        <f>G45-G49</f>
        <v>1.7521633099999998</v>
      </c>
      <c r="J45" s="1">
        <v>1.9170170129999999</v>
      </c>
      <c r="K45">
        <f>J45+J49</f>
        <v>2.0087454309999999</v>
      </c>
      <c r="L45">
        <f>J45-J49</f>
        <v>1.825288595</v>
      </c>
      <c r="M45" s="1">
        <v>2.283215523</v>
      </c>
      <c r="N45">
        <f>M45+M49</f>
        <v>2.5906330849999999</v>
      </c>
      <c r="O45">
        <f>M45-M49</f>
        <v>1.975797961</v>
      </c>
      <c r="P45" s="1">
        <v>2.0396769049999999</v>
      </c>
      <c r="Q45">
        <f>P45+P49</f>
        <v>2.1470450909999999</v>
      </c>
      <c r="R45">
        <f>P45-P49</f>
        <v>1.9323087189999999</v>
      </c>
      <c r="S45" s="1">
        <v>1.6186513380000001</v>
      </c>
      <c r="T45">
        <f>S45+S49</f>
        <v>1.712035577</v>
      </c>
      <c r="U45">
        <f>S45-S49</f>
        <v>1.5252670990000001</v>
      </c>
      <c r="V45" s="1">
        <v>1.99083136</v>
      </c>
      <c r="W45">
        <f>V45+V49</f>
        <v>2.3166612950000003</v>
      </c>
      <c r="X45">
        <f>V45-V49</f>
        <v>1.665001425</v>
      </c>
      <c r="Y45" s="1">
        <v>1.949904442</v>
      </c>
      <c r="Z45">
        <f>Y45+Y49</f>
        <v>2.2533030680000001</v>
      </c>
      <c r="AA45">
        <f>Y45-Y49</f>
        <v>1.6465058159999999</v>
      </c>
      <c r="AB45" s="1">
        <v>1.7167949680000001</v>
      </c>
      <c r="AC45">
        <f>AB45+AB49</f>
        <v>2.0344384870000001</v>
      </c>
      <c r="AD45">
        <f>AB45-AB49</f>
        <v>1.3991514490000001</v>
      </c>
      <c r="AE45" s="1">
        <v>2.88249588</v>
      </c>
      <c r="AF45">
        <f>AE45+AE49</f>
        <v>4.3685407759999997</v>
      </c>
      <c r="AG45">
        <f>AE45-AE49</f>
        <v>1.3964509840000001</v>
      </c>
    </row>
    <row r="46" spans="1:33" x14ac:dyDescent="0.35">
      <c r="A46" s="1">
        <v>3.3662920999999998E-2</v>
      </c>
      <c r="D46" s="1">
        <v>0.19211531500000001</v>
      </c>
      <c r="G46" s="1">
        <v>3.6007219E-2</v>
      </c>
      <c r="J46" s="1">
        <v>5.7076253E-2</v>
      </c>
      <c r="M46" s="1">
        <v>0.189586792</v>
      </c>
      <c r="P46" s="1">
        <v>6.3559117999999998E-2</v>
      </c>
      <c r="S46" s="1">
        <v>3.6753534999999997E-2</v>
      </c>
      <c r="V46" s="1">
        <v>9.1402205E-2</v>
      </c>
      <c r="Y46" s="1">
        <v>0.101458516</v>
      </c>
      <c r="AB46" s="1">
        <v>0.15427700899999999</v>
      </c>
      <c r="AE46" s="1">
        <v>0.28536183799999998</v>
      </c>
    </row>
    <row r="47" spans="1:33" x14ac:dyDescent="0.35">
      <c r="A47" s="1">
        <v>0.377282597</v>
      </c>
      <c r="D47" s="1">
        <v>0.42003285499999998</v>
      </c>
      <c r="G47" s="1">
        <v>0.30242133500000001</v>
      </c>
      <c r="J47" s="1">
        <v>0.22691571199999999</v>
      </c>
      <c r="M47" s="1">
        <v>0.80811763999999997</v>
      </c>
      <c r="P47" s="1">
        <v>0.213661244</v>
      </c>
      <c r="S47" s="1">
        <v>0.20026697500000001</v>
      </c>
      <c r="V47" s="1">
        <v>0.74771074800000004</v>
      </c>
      <c r="Y47" s="1">
        <v>0.87036238700000002</v>
      </c>
      <c r="AB47" s="1">
        <v>0.61009438000000005</v>
      </c>
      <c r="AE47" s="1">
        <v>2.5815725860000001</v>
      </c>
    </row>
    <row r="48" spans="1:33" x14ac:dyDescent="0.35">
      <c r="A48" s="1">
        <v>0.13973933699999999</v>
      </c>
      <c r="D48" s="1">
        <v>0.54441058600000003</v>
      </c>
      <c r="G48" s="1">
        <v>8.2566212E-2</v>
      </c>
      <c r="J48" s="1">
        <v>0.210383564</v>
      </c>
      <c r="M48" s="1">
        <v>1.0834382469999999</v>
      </c>
      <c r="P48" s="1">
        <v>0.27295931299999998</v>
      </c>
      <c r="S48" s="1">
        <v>0.12256990399999999</v>
      </c>
      <c r="V48" s="1">
        <v>0.25791089699999997</v>
      </c>
      <c r="Y48" s="1">
        <v>0.40632552300000002</v>
      </c>
      <c r="AB48" s="1">
        <v>0.96378960400000002</v>
      </c>
      <c r="AE48" s="1">
        <v>0.792231087</v>
      </c>
    </row>
    <row r="49" spans="1:33" x14ac:dyDescent="0.35">
      <c r="A49" s="1">
        <v>8.6839122000000005E-2</v>
      </c>
      <c r="D49" s="1">
        <v>0.18684429899999999</v>
      </c>
      <c r="G49" s="1">
        <v>0.17548571099999999</v>
      </c>
      <c r="J49" s="1">
        <v>9.1728418000000006E-2</v>
      </c>
      <c r="M49" s="1">
        <v>0.30741756199999998</v>
      </c>
      <c r="P49" s="1">
        <v>0.107368186</v>
      </c>
      <c r="S49" s="1">
        <v>9.3384238999999994E-2</v>
      </c>
      <c r="V49" s="1">
        <v>0.32582993500000001</v>
      </c>
      <c r="Y49" s="1">
        <v>0.303398626</v>
      </c>
      <c r="AB49" s="1">
        <v>0.31764351899999999</v>
      </c>
      <c r="AE49" s="1">
        <v>1.4860448959999999</v>
      </c>
    </row>
    <row r="51" spans="1:33" x14ac:dyDescent="0.35">
      <c r="A51" s="1" t="s">
        <v>5</v>
      </c>
    </row>
    <row r="52" spans="1:33" x14ac:dyDescent="0.35">
      <c r="A52" s="1">
        <v>16.396186350000001</v>
      </c>
      <c r="B52">
        <f>A52+A56</f>
        <v>16.41726787188</v>
      </c>
      <c r="C52">
        <f>A52-A56</f>
        <v>16.375104828120001</v>
      </c>
      <c r="D52" s="1">
        <v>15.46635783</v>
      </c>
      <c r="E52">
        <f>D52+D56</f>
        <v>15.662252023699999</v>
      </c>
      <c r="F52">
        <f>D52-D56</f>
        <v>15.270463636300001</v>
      </c>
      <c r="G52" s="1">
        <v>15.90564144</v>
      </c>
      <c r="H52">
        <f>G52+G56</f>
        <v>15.943012930170001</v>
      </c>
      <c r="I52">
        <f>G52-G56</f>
        <v>15.868269949829999</v>
      </c>
      <c r="J52" s="1">
        <v>15.910065830000001</v>
      </c>
      <c r="K52">
        <f>J52+J56</f>
        <v>15.96640264234</v>
      </c>
      <c r="L52">
        <f>J52-J56</f>
        <v>15.853729017660001</v>
      </c>
      <c r="M52" s="1">
        <v>15.81004429</v>
      </c>
      <c r="N52">
        <f>M52+M56</f>
        <v>15.9973187124</v>
      </c>
      <c r="O52">
        <f>M52-M56</f>
        <v>15.622769867600001</v>
      </c>
      <c r="P52" s="1">
        <v>15.73239467</v>
      </c>
      <c r="Q52">
        <f>P52+P56</f>
        <v>15.79543377069</v>
      </c>
      <c r="R52">
        <f>P52-P56</f>
        <v>15.66935556931</v>
      </c>
      <c r="S52" s="1">
        <v>16.09637094</v>
      </c>
      <c r="T52">
        <f>S52+S56</f>
        <v>16.136164096070001</v>
      </c>
      <c r="U52">
        <f>S52-S56</f>
        <v>16.056577783929999</v>
      </c>
      <c r="V52" s="1">
        <v>15.4886055</v>
      </c>
      <c r="W52">
        <f>V52+V56</f>
        <v>15.581267276550001</v>
      </c>
      <c r="X52">
        <f>V52-V56</f>
        <v>15.395943723449999</v>
      </c>
      <c r="Y52" s="1">
        <v>14.82047118</v>
      </c>
      <c r="Z52">
        <f>Y52+Y56</f>
        <v>14.9195654681</v>
      </c>
      <c r="AA52">
        <f>Y52-Y56</f>
        <v>14.7213768919</v>
      </c>
      <c r="AB52" s="1">
        <v>15.01187444</v>
      </c>
      <c r="AC52">
        <f>AB52+AB56</f>
        <v>15.1641525253</v>
      </c>
      <c r="AD52">
        <f>AB52-AB56</f>
        <v>14.859596354699999</v>
      </c>
      <c r="AE52" s="1">
        <v>16.107152459999998</v>
      </c>
      <c r="AF52">
        <f>AE52+AE56</f>
        <v>16.398342526299999</v>
      </c>
      <c r="AG52">
        <f>AE52-AE56</f>
        <v>15.815962393699998</v>
      </c>
    </row>
    <row r="53" spans="1:33" x14ac:dyDescent="0.35">
      <c r="A53" s="1">
        <v>3.8582258079999998</v>
      </c>
      <c r="B53">
        <f>A53+A57</f>
        <v>4.0193839535000002</v>
      </c>
      <c r="C53">
        <f>A53-A57</f>
        <v>3.6970676624999999</v>
      </c>
      <c r="D53" s="1">
        <v>3.5903244609999998</v>
      </c>
      <c r="E53">
        <f>D53+D57</f>
        <v>3.9938416123999998</v>
      </c>
      <c r="F53">
        <f>D53-D57</f>
        <v>3.1868073095999998</v>
      </c>
      <c r="G53" s="1">
        <v>4.2917740640000002</v>
      </c>
      <c r="H53">
        <f>G53+G57</f>
        <v>4.5870752348000003</v>
      </c>
      <c r="I53">
        <f>G53-G57</f>
        <v>3.9964728932</v>
      </c>
      <c r="J53" s="1">
        <v>4.2483703200000003</v>
      </c>
      <c r="K53">
        <f>J53+J57</f>
        <v>4.4730351750000006</v>
      </c>
      <c r="L53">
        <f>J53-J57</f>
        <v>4.0237054649999999</v>
      </c>
      <c r="M53" s="1">
        <v>4.3467073440000004</v>
      </c>
      <c r="N53">
        <f>M53+M57</f>
        <v>5.1364835645000007</v>
      </c>
      <c r="O53">
        <f>M53-M57</f>
        <v>3.5569311235000005</v>
      </c>
      <c r="P53" s="1">
        <v>4.6338319779999999</v>
      </c>
      <c r="Q53">
        <f>P53+P57</f>
        <v>4.8423241067999996</v>
      </c>
      <c r="R53">
        <f>P53-P57</f>
        <v>4.4253398492000002</v>
      </c>
      <c r="S53" s="1">
        <v>3.9853460190000001</v>
      </c>
      <c r="T53">
        <f>S53+S57</f>
        <v>4.2029910423999999</v>
      </c>
      <c r="U53">
        <f>S53-S57</f>
        <v>3.7677009956000003</v>
      </c>
      <c r="V53" s="1">
        <v>4.5680142640000003</v>
      </c>
      <c r="W53">
        <f>V53+V57</f>
        <v>5.3326735565000005</v>
      </c>
      <c r="X53">
        <f>V53-V57</f>
        <v>3.8033549715000001</v>
      </c>
      <c r="Y53" s="1">
        <v>4.6418944599999996</v>
      </c>
      <c r="Z53">
        <f>Y53+Y57</f>
        <v>5.5159915125999994</v>
      </c>
      <c r="AA53">
        <f>Y53-Y57</f>
        <v>3.7677974073999998</v>
      </c>
      <c r="AB53" s="1">
        <v>5.3052151199999997</v>
      </c>
      <c r="AC53">
        <f>AB53+AB57</f>
        <v>5.9073138792000002</v>
      </c>
      <c r="AD53">
        <f>AB53-AB57</f>
        <v>4.7031163607999993</v>
      </c>
      <c r="AE53" s="1">
        <v>20</v>
      </c>
      <c r="AF53">
        <f>AE53+AE57</f>
        <v>22.359560977000001</v>
      </c>
      <c r="AG53">
        <f>AE53-AE57</f>
        <v>17.640439022999999</v>
      </c>
    </row>
    <row r="54" spans="1:33" x14ac:dyDescent="0.35">
      <c r="A54" s="1">
        <v>2.6941472649999998</v>
      </c>
      <c r="B54">
        <f>A54+A57</f>
        <v>2.8553054104999998</v>
      </c>
      <c r="C54">
        <f>A54-A57</f>
        <v>2.5329891194999998</v>
      </c>
      <c r="D54" s="1">
        <v>2.1842413660000002</v>
      </c>
      <c r="E54">
        <f>D54+D57</f>
        <v>2.5877585174000002</v>
      </c>
      <c r="F54">
        <f>D54-D57</f>
        <v>1.7807242146000002</v>
      </c>
      <c r="G54" s="1">
        <v>1.1752987429999999</v>
      </c>
      <c r="H54">
        <f>G54+G57</f>
        <v>1.4705999137999999</v>
      </c>
      <c r="I54">
        <f>G54-G57</f>
        <v>0.87999757219999997</v>
      </c>
      <c r="J54" s="1">
        <v>2.2649652360000001</v>
      </c>
      <c r="K54">
        <f>J54+J57</f>
        <v>2.489630091</v>
      </c>
      <c r="L54">
        <f>J54-J57</f>
        <v>2.0403003810000002</v>
      </c>
      <c r="M54" s="1">
        <v>3.2064326520000002</v>
      </c>
      <c r="N54">
        <f>M54+M57</f>
        <v>3.9962088725</v>
      </c>
      <c r="O54">
        <f>M54-M57</f>
        <v>2.4166564315000003</v>
      </c>
      <c r="P54" s="1">
        <v>2.9531110229999999</v>
      </c>
      <c r="Q54">
        <f>P54+P57</f>
        <v>3.1616031518000001</v>
      </c>
      <c r="R54">
        <f>P54-P57</f>
        <v>2.7446188941999998</v>
      </c>
      <c r="S54" s="1">
        <v>2.0361217859999998</v>
      </c>
      <c r="T54">
        <f>S54+S57</f>
        <v>2.2537668093999996</v>
      </c>
      <c r="U54">
        <f>S54-S57</f>
        <v>1.8184767625999998</v>
      </c>
      <c r="V54" s="1">
        <v>1.6815049500000001</v>
      </c>
      <c r="W54">
        <f>V54+V57</f>
        <v>2.4461642425000001</v>
      </c>
      <c r="X54">
        <f>V54-V57</f>
        <v>0.91684565750000013</v>
      </c>
      <c r="Y54" s="1">
        <v>1.8449637759999999</v>
      </c>
      <c r="Z54">
        <f>Y54+Y57</f>
        <v>2.7190608286</v>
      </c>
      <c r="AA54">
        <f>Y54-Y57</f>
        <v>0.97086672339999991</v>
      </c>
      <c r="AB54" s="1">
        <v>3.2424260970000001</v>
      </c>
      <c r="AC54">
        <f>AB54+AB57</f>
        <v>3.8445248562000001</v>
      </c>
      <c r="AD54">
        <f>AB54-AB57</f>
        <v>2.6403273378000001</v>
      </c>
      <c r="AE54" s="1">
        <v>2.7587534339999999</v>
      </c>
      <c r="AF54">
        <f>AE54+AE57</f>
        <v>5.1183144110000001</v>
      </c>
      <c r="AG54">
        <f>AE54-AE57</f>
        <v>0.39919245699999983</v>
      </c>
    </row>
    <row r="55" spans="1:33" x14ac:dyDescent="0.35">
      <c r="A55" s="1">
        <v>1.945098132</v>
      </c>
      <c r="B55">
        <f>A55+A59</f>
        <v>2.0055133597800001</v>
      </c>
      <c r="C55">
        <f>A55-A59</f>
        <v>1.88468290422</v>
      </c>
      <c r="D55" s="1">
        <v>1.820799828</v>
      </c>
      <c r="E55">
        <f>D55+D59</f>
        <v>1.9991299259999999</v>
      </c>
      <c r="F55">
        <f>D55-D59</f>
        <v>1.64246973</v>
      </c>
      <c r="G55" s="1">
        <v>1.9666092690000001</v>
      </c>
      <c r="H55">
        <f>G55+G59</f>
        <v>2.1375295698999999</v>
      </c>
      <c r="I55">
        <f>G55-G59</f>
        <v>1.7956889681000001</v>
      </c>
      <c r="J55" s="1">
        <v>1.9065103379999999</v>
      </c>
      <c r="K55">
        <f>J55+J59</f>
        <v>1.9980849198099999</v>
      </c>
      <c r="L55">
        <f>J55-J59</f>
        <v>1.8149357561899999</v>
      </c>
      <c r="M55" s="1">
        <v>2.2835018630000001</v>
      </c>
      <c r="N55">
        <f>M55+M59</f>
        <v>2.5875297434000002</v>
      </c>
      <c r="O55">
        <f>M55-M59</f>
        <v>1.9794739826000001</v>
      </c>
      <c r="P55" s="1">
        <v>2.097764969</v>
      </c>
      <c r="Q55">
        <f>P55+P59</f>
        <v>2.2019838528999998</v>
      </c>
      <c r="R55">
        <f>P55-P59</f>
        <v>1.9935460851</v>
      </c>
      <c r="S55" s="1">
        <v>1.6573758089999999</v>
      </c>
      <c r="T55">
        <f>S55+S59</f>
        <v>1.75496805228</v>
      </c>
      <c r="U55">
        <f>S55-S59</f>
        <v>1.5597835657199999</v>
      </c>
      <c r="V55" s="1">
        <v>1.99659586</v>
      </c>
      <c r="W55">
        <f>V55+V59</f>
        <v>2.3226727616999998</v>
      </c>
      <c r="X55">
        <f>V55-V59</f>
        <v>1.6705189583</v>
      </c>
      <c r="Y55" s="1">
        <v>1.908144955</v>
      </c>
      <c r="Z55">
        <f>Y55+Y59</f>
        <v>2.2180561571999999</v>
      </c>
      <c r="AA55">
        <f>Y55-Y59</f>
        <v>1.5982337528000001</v>
      </c>
      <c r="AB55" s="1">
        <v>1.7164365049999999</v>
      </c>
      <c r="AC55">
        <f>AB55+AB59</f>
        <v>2.0300399058999998</v>
      </c>
      <c r="AD55">
        <f>AB55-AB59</f>
        <v>1.4028331041</v>
      </c>
      <c r="AE55" s="1">
        <v>2.3514337539999999</v>
      </c>
      <c r="AF55">
        <f>AE55+AE59</f>
        <v>3.9032935899999996</v>
      </c>
      <c r="AG55">
        <f>AE55-AE59</f>
        <v>0.79957391799999988</v>
      </c>
    </row>
    <row r="56" spans="1:33" x14ac:dyDescent="0.35">
      <c r="A56" s="1">
        <v>2.1081521879999999E-2</v>
      </c>
      <c r="D56" s="1">
        <v>0.1958941937</v>
      </c>
      <c r="G56" s="1">
        <v>3.737149017E-2</v>
      </c>
      <c r="J56" s="1">
        <v>5.633681234E-2</v>
      </c>
      <c r="M56" s="1">
        <v>0.1872744224</v>
      </c>
      <c r="P56" s="1">
        <v>6.3039100690000002E-2</v>
      </c>
      <c r="S56" s="1">
        <v>3.9793156070000002E-2</v>
      </c>
      <c r="V56" s="1">
        <v>9.2661776550000005E-2</v>
      </c>
      <c r="Y56" s="1">
        <v>9.9094288099999997E-2</v>
      </c>
      <c r="AB56" s="1">
        <v>0.1522780853</v>
      </c>
      <c r="AE56" s="1">
        <v>0.29119006629999999</v>
      </c>
    </row>
    <row r="57" spans="1:33" x14ac:dyDescent="0.35">
      <c r="A57" s="1">
        <v>0.16115814549999999</v>
      </c>
      <c r="D57" s="1">
        <v>0.4035171514</v>
      </c>
      <c r="G57" s="1">
        <v>0.29530117080000001</v>
      </c>
      <c r="J57" s="1">
        <v>0.224664855</v>
      </c>
      <c r="M57" s="1">
        <v>0.78977622049999996</v>
      </c>
      <c r="P57" s="1">
        <v>0.20849212880000001</v>
      </c>
      <c r="S57" s="1">
        <v>0.2176450234</v>
      </c>
      <c r="V57" s="1">
        <v>0.76465929249999998</v>
      </c>
      <c r="Y57" s="1">
        <v>0.87409705260000004</v>
      </c>
      <c r="AB57" s="1">
        <v>0.6020987592</v>
      </c>
      <c r="AE57" s="1">
        <v>2.3595609770000001</v>
      </c>
    </row>
    <row r="58" spans="1:33" x14ac:dyDescent="0.35">
      <c r="A58" s="1">
        <v>9.0118935819999996E-2</v>
      </c>
      <c r="D58" s="1">
        <v>0.56464468469999995</v>
      </c>
      <c r="G58" s="1">
        <v>8.5076275480000005E-2</v>
      </c>
      <c r="J58" s="1">
        <v>0.20961997700000001</v>
      </c>
      <c r="M58" s="1">
        <v>1.0711018809999999</v>
      </c>
      <c r="P58" s="1">
        <v>0.27109459699999999</v>
      </c>
      <c r="S58" s="1">
        <v>0.1480210142</v>
      </c>
      <c r="V58" s="1">
        <v>0.25284954720000002</v>
      </c>
      <c r="Y58" s="1">
        <v>0.39374268600000001</v>
      </c>
      <c r="AB58" s="1">
        <v>0.951389237</v>
      </c>
      <c r="AE58" s="1">
        <v>0.71325976540000002</v>
      </c>
    </row>
    <row r="59" spans="1:33" x14ac:dyDescent="0.35">
      <c r="A59" s="1">
        <v>6.0415227779999997E-2</v>
      </c>
      <c r="D59" s="1">
        <v>0.17833009799999999</v>
      </c>
      <c r="G59" s="1">
        <v>0.17092030089999999</v>
      </c>
      <c r="J59" s="1">
        <v>9.157458181E-2</v>
      </c>
      <c r="M59" s="1">
        <v>0.30402788040000001</v>
      </c>
      <c r="P59" s="1">
        <v>0.1042188839</v>
      </c>
      <c r="S59" s="1">
        <v>9.7592243280000004E-2</v>
      </c>
      <c r="V59" s="1">
        <v>0.32607690169999998</v>
      </c>
      <c r="Y59" s="1">
        <v>0.30991120220000001</v>
      </c>
      <c r="AB59" s="1">
        <v>0.3136034009</v>
      </c>
      <c r="AE59" s="1">
        <v>1.551859836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6DD5-068A-46F1-9FDC-EAC48FFBC1D1}">
  <dimension ref="A1:AG59"/>
  <sheetViews>
    <sheetView workbookViewId="0">
      <pane ySplit="1" topLeftCell="A17" activePane="bottomLeft" state="frozen"/>
      <selection pane="bottomLeft" activeCell="P20" sqref="P20"/>
    </sheetView>
  </sheetViews>
  <sheetFormatPr defaultRowHeight="14.5" x14ac:dyDescent="0.35"/>
  <cols>
    <col min="1" max="1" width="8.7265625" style="1"/>
    <col min="4" max="4" width="8.7265625" style="1"/>
    <col min="7" max="7" width="8.7265625" style="1"/>
    <col min="10" max="10" width="8.7265625" style="1"/>
    <col min="13" max="13" width="8.7265625" style="1"/>
    <col min="16" max="16" width="8.7265625" style="1"/>
    <col min="19" max="19" width="8.7265625" style="1"/>
    <col min="22" max="22" width="8.7265625" style="1"/>
    <col min="25" max="25" width="8.7265625" style="1"/>
    <col min="28" max="28" width="8.7265625" style="1"/>
    <col min="31" max="31" width="8.7265625" style="1"/>
  </cols>
  <sheetData>
    <row r="1" spans="1:33" x14ac:dyDescent="0.35">
      <c r="A1" s="1" t="s">
        <v>1</v>
      </c>
    </row>
    <row r="2" spans="1:33" x14ac:dyDescent="0.35">
      <c r="A2" s="1">
        <v>16.424389600000001</v>
      </c>
      <c r="B2">
        <f>A2+A6</f>
        <v>16.440095063000001</v>
      </c>
      <c r="C2">
        <f>A2-A6</f>
        <v>16.408684137000002</v>
      </c>
      <c r="D2" s="1">
        <v>15.63007855</v>
      </c>
      <c r="E2">
        <f>D2+D6</f>
        <v>15.807657791</v>
      </c>
      <c r="F2">
        <f>D2-D6</f>
        <v>15.452499309</v>
      </c>
      <c r="G2" s="1">
        <v>15.905393180000001</v>
      </c>
      <c r="H2">
        <f>G2+G6</f>
        <v>15.933956964</v>
      </c>
      <c r="I2">
        <f>G2-G6</f>
        <v>15.876829396000002</v>
      </c>
      <c r="J2" s="1">
        <v>15.966458080000001</v>
      </c>
      <c r="K2">
        <f>J2+J6</f>
        <v>16.010720951</v>
      </c>
      <c r="L2">
        <f>J2-J6</f>
        <v>15.922195209</v>
      </c>
      <c r="M2" s="1">
        <v>15.806308509999999</v>
      </c>
      <c r="N2">
        <f>M2+M6</f>
        <v>15.972601249999999</v>
      </c>
      <c r="O2">
        <f>M2-M6</f>
        <v>15.64001577</v>
      </c>
      <c r="P2" s="1">
        <v>15.647233010000001</v>
      </c>
      <c r="Q2">
        <f>P2+P6</f>
        <v>15.697306326000001</v>
      </c>
      <c r="R2">
        <f>P2-P6</f>
        <v>15.597159694</v>
      </c>
      <c r="S2" s="1">
        <v>16.119581700000001</v>
      </c>
      <c r="T2">
        <f>S2+S6</f>
        <v>16.149647074000001</v>
      </c>
      <c r="U2">
        <f>S2-S6</f>
        <v>16.089516326000002</v>
      </c>
      <c r="V2" s="1">
        <v>15.49309015</v>
      </c>
      <c r="W2">
        <f>V2+V6</f>
        <v>15.562314491</v>
      </c>
      <c r="X2">
        <f>V2-V6</f>
        <v>15.423865809</v>
      </c>
      <c r="Y2" s="1">
        <v>14.83816195</v>
      </c>
      <c r="Z2">
        <f>Y2+Y6</f>
        <v>14.913969627</v>
      </c>
      <c r="AA2">
        <f>Y2-Y6</f>
        <v>14.762354273</v>
      </c>
      <c r="AB2" s="1">
        <v>14.963228579999999</v>
      </c>
      <c r="AC2">
        <f>AB2+AB6</f>
        <v>15.083314713999998</v>
      </c>
      <c r="AD2">
        <f>AB2-AB6</f>
        <v>14.843142446</v>
      </c>
      <c r="AE2" s="1">
        <v>15.36866498</v>
      </c>
      <c r="AF2">
        <f>AE2+AE6</f>
        <v>15.678389074</v>
      </c>
      <c r="AG2">
        <f>AE2-AE6</f>
        <v>15.058940886</v>
      </c>
    </row>
    <row r="3" spans="1:33" x14ac:dyDescent="0.35">
      <c r="A3" s="1">
        <v>3.9736948010000002</v>
      </c>
      <c r="B3">
        <f>A3+A7</f>
        <v>4.0921030460000001</v>
      </c>
      <c r="C3">
        <f>A3-A7</f>
        <v>3.8552865560000003</v>
      </c>
      <c r="D3" s="1">
        <v>3.4747671410000001</v>
      </c>
      <c r="E3">
        <f>D3+D7</f>
        <v>3.762022209</v>
      </c>
      <c r="F3">
        <f>D3-D7</f>
        <v>3.1875120730000002</v>
      </c>
      <c r="G3" s="1">
        <v>4.232208967</v>
      </c>
      <c r="H3">
        <f>G3+G7</f>
        <v>4.4479348989999998</v>
      </c>
      <c r="I3">
        <f>G3-G7</f>
        <v>4.0164830350000003</v>
      </c>
      <c r="J3" s="1">
        <v>4.3308392759999998</v>
      </c>
      <c r="K3">
        <f>J3+J7</f>
        <v>4.498618316</v>
      </c>
      <c r="L3">
        <f>J3-J7</f>
        <v>4.1630602359999997</v>
      </c>
      <c r="M3" s="1">
        <v>4.1534192560000003</v>
      </c>
      <c r="N3">
        <f>M3+M7</f>
        <v>4.799982354</v>
      </c>
      <c r="O3">
        <f>M3-M7</f>
        <v>3.5068561580000002</v>
      </c>
      <c r="P3" s="1">
        <v>4.4311825039999997</v>
      </c>
      <c r="Q3">
        <f>P3+P7</f>
        <v>4.6052842389999995</v>
      </c>
      <c r="R3">
        <f>P3-P7</f>
        <v>4.2570807689999999</v>
      </c>
      <c r="S3" s="1">
        <v>4.0014736060000002</v>
      </c>
      <c r="T3">
        <f>S3+S7</f>
        <v>4.1620838940000002</v>
      </c>
      <c r="U3">
        <f>S3-S7</f>
        <v>3.8408633180000002</v>
      </c>
      <c r="V3" s="1">
        <v>4.7076784370000002</v>
      </c>
      <c r="W3">
        <f>V3+V7</f>
        <v>5.2701798310000001</v>
      </c>
      <c r="X3">
        <f>V3-V7</f>
        <v>4.1451770430000003</v>
      </c>
      <c r="Y3" s="1">
        <v>4.3816028830000002</v>
      </c>
      <c r="Z3">
        <f>Y3+Y7</f>
        <v>5.0117866000000006</v>
      </c>
      <c r="AA3">
        <f>Y3-Y7</f>
        <v>3.7514191660000002</v>
      </c>
      <c r="AB3" s="1">
        <v>5.1357114020000001</v>
      </c>
      <c r="AC3">
        <f>AB3+AB7</f>
        <v>5.5977079200000004</v>
      </c>
      <c r="AD3">
        <f>AB3-AB7</f>
        <v>4.6737148839999998</v>
      </c>
      <c r="AE3" s="1">
        <v>5.9615473750000003</v>
      </c>
      <c r="AF3">
        <f>AE3+AE7</f>
        <v>6.7477326660000001</v>
      </c>
      <c r="AG3">
        <f>AE3-AE7</f>
        <v>5.1753620840000005</v>
      </c>
    </row>
    <row r="4" spans="1:33" x14ac:dyDescent="0.35">
      <c r="A4" s="1">
        <v>2.710234501</v>
      </c>
      <c r="B4">
        <f>A4+A7</f>
        <v>2.8286427459999999</v>
      </c>
      <c r="C4">
        <f>A4-A7</f>
        <v>2.5918262560000001</v>
      </c>
      <c r="D4" s="1">
        <v>2.633606935</v>
      </c>
      <c r="E4">
        <f>D4+D7</f>
        <v>2.9208620029999999</v>
      </c>
      <c r="F4">
        <f>D4-D7</f>
        <v>2.3463518670000001</v>
      </c>
      <c r="G4" s="1">
        <v>1.1127917919999999</v>
      </c>
      <c r="H4">
        <f>G4+G7</f>
        <v>1.3285177239999999</v>
      </c>
      <c r="I4">
        <f>G4-G7</f>
        <v>0.89706585999999988</v>
      </c>
      <c r="J4" s="1">
        <v>2.4038936909999999</v>
      </c>
      <c r="K4">
        <f>J4+J7</f>
        <v>2.571672731</v>
      </c>
      <c r="L4">
        <f>J4-J7</f>
        <v>2.2361146509999998</v>
      </c>
      <c r="M4" s="1">
        <v>3.2501405179999998</v>
      </c>
      <c r="N4">
        <f>M4+M7</f>
        <v>3.8967036159999999</v>
      </c>
      <c r="O4">
        <f>M4-M7</f>
        <v>2.6035774199999997</v>
      </c>
      <c r="P4" s="1">
        <v>2.6461128440000001</v>
      </c>
      <c r="Q4">
        <f>P4+P7</f>
        <v>2.8202145789999999</v>
      </c>
      <c r="R4">
        <f>P4-P7</f>
        <v>2.4720111090000003</v>
      </c>
      <c r="S4" s="1">
        <v>2.0294176039999998</v>
      </c>
      <c r="T4">
        <f>S4+S7</f>
        <v>2.1900278919999998</v>
      </c>
      <c r="U4">
        <f>S4-S7</f>
        <v>1.8688073159999998</v>
      </c>
      <c r="V4" s="1">
        <v>1.5285465309999999</v>
      </c>
      <c r="W4">
        <f>V4+V7</f>
        <v>2.0910479249999998</v>
      </c>
      <c r="X4">
        <f>V4-V7</f>
        <v>0.96604513699999994</v>
      </c>
      <c r="Y4" s="1">
        <v>2.0039532740000001</v>
      </c>
      <c r="Z4">
        <f>Y4+Y7</f>
        <v>2.6341369910000001</v>
      </c>
      <c r="AA4">
        <f>Y4-Y7</f>
        <v>1.3737695570000001</v>
      </c>
      <c r="AB4" s="1">
        <v>2.9339711589999999</v>
      </c>
      <c r="AC4">
        <f>AB4+AB7</f>
        <v>3.3959676769999998</v>
      </c>
      <c r="AD4">
        <f>AB4-AB7</f>
        <v>2.4719746410000001</v>
      </c>
      <c r="AE4" s="1">
        <v>1.904185027</v>
      </c>
      <c r="AF4">
        <f>AE4+AE7</f>
        <v>2.6903703180000003</v>
      </c>
      <c r="AG4">
        <f>AE4-AE7</f>
        <v>1.117999736</v>
      </c>
    </row>
    <row r="5" spans="1:33" x14ac:dyDescent="0.35">
      <c r="A5" s="1">
        <v>1.9291286510000001</v>
      </c>
      <c r="B5">
        <f>A5+A9</f>
        <v>1.9760221960000002</v>
      </c>
      <c r="C5">
        <f>A5-A9</f>
        <v>1.882235106</v>
      </c>
      <c r="D5" s="1">
        <v>1.8123989250000001</v>
      </c>
      <c r="E5">
        <f>D5+D9</f>
        <v>1.9394160890000001</v>
      </c>
      <c r="F5">
        <f>D5-D9</f>
        <v>1.6853817610000001</v>
      </c>
      <c r="G5" s="1">
        <v>1.950793743</v>
      </c>
      <c r="H5">
        <f>G5+G9</f>
        <v>2.0776979550000001</v>
      </c>
      <c r="I5">
        <f>G5-G9</f>
        <v>1.8238895310000001</v>
      </c>
      <c r="J5" s="1">
        <v>1.8962831499999999</v>
      </c>
      <c r="K5">
        <f>J5+J9</f>
        <v>1.9671311649999998</v>
      </c>
      <c r="L5">
        <f>J5-J9</f>
        <v>1.825435135</v>
      </c>
      <c r="M5" s="1">
        <v>2.2838308810000001</v>
      </c>
      <c r="N5">
        <f>M5+M9</f>
        <v>2.5164544879999999</v>
      </c>
      <c r="O5">
        <f>M5-M9</f>
        <v>2.0512072740000002</v>
      </c>
      <c r="P5" s="1">
        <v>2.0806237460000001</v>
      </c>
      <c r="Q5">
        <f>P5+P9</f>
        <v>2.1611316500000002</v>
      </c>
      <c r="R5">
        <f>P5-P9</f>
        <v>2.000115842</v>
      </c>
      <c r="S5" s="1">
        <v>1.67382282</v>
      </c>
      <c r="T5">
        <f>S5+S9</f>
        <v>1.7472278450000001</v>
      </c>
      <c r="U5">
        <f>S5-S9</f>
        <v>1.600417795</v>
      </c>
      <c r="V5" s="1">
        <v>1.9349431989999999</v>
      </c>
      <c r="W5">
        <f>V5+V9</f>
        <v>2.1742789579999999</v>
      </c>
      <c r="X5">
        <f>V5-V9</f>
        <v>1.6956074399999999</v>
      </c>
      <c r="Y5" s="1">
        <v>1.9068658350000001</v>
      </c>
      <c r="Z5">
        <f>Y5+Y9</f>
        <v>2.1382534670000002</v>
      </c>
      <c r="AA5">
        <f>Y5-Y9</f>
        <v>1.6754782029999999</v>
      </c>
      <c r="AB5" s="1">
        <v>1.719951749</v>
      </c>
      <c r="AC5">
        <f>AB5+AB9</f>
        <v>1.95996729</v>
      </c>
      <c r="AD5">
        <f>AB5-AB9</f>
        <v>1.479936208</v>
      </c>
      <c r="AE5" s="1">
        <v>1.366675377</v>
      </c>
      <c r="AF5">
        <f>AE5+AE9</f>
        <v>1.8473292909999999</v>
      </c>
      <c r="AG5">
        <f>AE5-AE9</f>
        <v>0.88602146299999995</v>
      </c>
    </row>
    <row r="6" spans="1:33" x14ac:dyDescent="0.35">
      <c r="A6" s="1">
        <v>1.5705462999999999E-2</v>
      </c>
      <c r="B6" t="e">
        <f>IF(AND(B2&lt;=#REF!,B2&gt;=#REF!),"CASE 2",IF(AND(C2&lt;=#REF!,C2&gt;=#REF!),"CASE 1",IF(AND(B2&gt;=#REF!,C2&lt;=#REF!),"CASE 3",IF(AND(B2&lt;=#REF!,C2&gt;=#REF!),"CASE 4",FALSE()))))</f>
        <v>#REF!</v>
      </c>
      <c r="D6" s="1">
        <v>0.177579241</v>
      </c>
      <c r="E6" t="e">
        <f>IF(AND(E2&lt;=#REF!,E2&gt;=#REF!),"CASE 2",IF(AND(F2&lt;=#REF!,F2&gt;=#REF!),"CASE 1",IF(AND(E2&gt;=#REF!,F2&lt;=#REF!),"CASE 3",IF(AND(E2&lt;=#REF!,F2&gt;=#REF!),"CASE 4",FALSE()))))</f>
        <v>#REF!</v>
      </c>
      <c r="G6" s="1">
        <v>2.8563783999999998E-2</v>
      </c>
      <c r="H6" t="e">
        <f>IF(AND(H2&lt;=#REF!,H2&gt;=#REF!),"CASE 2",IF(AND(I2&lt;=#REF!,I2&gt;=#REF!),"CASE 1",IF(AND(H2&gt;=#REF!,I2&lt;=#REF!),"CASE 3",IF(AND(H2&lt;=#REF!,I2&gt;=#REF!),"CASE 4",FALSE()))))</f>
        <v>#REF!</v>
      </c>
      <c r="J6" s="1">
        <v>4.4262871000000002E-2</v>
      </c>
      <c r="K6" t="e">
        <f>IF(AND(K2&lt;=#REF!,K2&gt;=#REF!),"CASE 2",IF(AND(L2&lt;=#REF!,L2&gt;=#REF!),"CASE 1",IF(AND(K2&gt;=#REF!,L2&lt;=#REF!),"CASE 3",IF(AND(K2&lt;=#REF!,L2&gt;=#REF!),"CASE 4",FALSE()))))</f>
        <v>#REF!</v>
      </c>
      <c r="M6" s="1">
        <v>0.16629273999999999</v>
      </c>
      <c r="N6" t="e">
        <f>IF(AND(N2&lt;=#REF!,N2&gt;=#REF!),"CASE 2",IF(AND(O2&lt;=#REF!,O2&gt;=#REF!),"CASE 1",IF(AND(N2&gt;=#REF!,O2&lt;=#REF!),"CASE 3",IF(AND(N2&lt;=#REF!,O2&gt;=#REF!),"CASE 4",FALSE()))))</f>
        <v>#REF!</v>
      </c>
      <c r="P6" s="1">
        <v>5.0073316E-2</v>
      </c>
      <c r="Q6" t="e">
        <f>IF(AND(Q2&lt;=#REF!,Q2&gt;=#REF!),"CASE 2",IF(AND(R2&lt;=#REF!,R2&gt;=#REF!),"CASE 1",IF(AND(Q2&gt;=#REF!,R2&lt;=#REF!),"CASE 3",IF(AND(Q2&lt;=#REF!,R2&gt;=#REF!),"CASE 4",FALSE()))))</f>
        <v>#REF!</v>
      </c>
      <c r="S6" s="1">
        <v>3.0065373999999999E-2</v>
      </c>
      <c r="T6" t="e">
        <f>IF(AND(T2&lt;=#REF!,T2&gt;=#REF!),"CASE 2",IF(AND(U2&lt;=#REF!,U2&gt;=#REF!),"CASE 1",IF(AND(T2&gt;=#REF!,U2&lt;=#REF!),"CASE 3",IF(AND(T2&lt;=#REF!,U2&gt;=#REF!),"CASE 4",FALSE()))))</f>
        <v>#REF!</v>
      </c>
      <c r="V6" s="1">
        <v>6.9224340999999995E-2</v>
      </c>
      <c r="W6" t="e">
        <f>IF(AND(W2&lt;=#REF!,W2&gt;=#REF!),"CASE 2",IF(AND(X2&lt;=#REF!,X2&gt;=#REF!),"CASE 1",IF(AND(W2&gt;=#REF!,X2&lt;=#REF!),"CASE 3",IF(AND(W2&lt;=#REF!,X2&gt;=#REF!),"CASE 4",FALSE()))))</f>
        <v>#REF!</v>
      </c>
      <c r="Y6" s="1">
        <v>7.5807677000000004E-2</v>
      </c>
      <c r="Z6" t="e">
        <f>IF(AND(Z2&lt;=#REF!,Z2&gt;=#REF!),"CASE 2",IF(AND(AA2&lt;=#REF!,AA2&gt;=#REF!),"CASE 1",IF(AND(Z2&gt;=#REF!,AA2&lt;=#REF!),"CASE 3",IF(AND(Z2&lt;=#REF!,AA2&gt;=#REF!),"CASE 4",FALSE()))))</f>
        <v>#REF!</v>
      </c>
      <c r="AB6" s="1">
        <v>0.120086134</v>
      </c>
      <c r="AC6" t="e">
        <f>IF(AND(AC2&lt;=#REF!,AC2&gt;=#REF!),"CASE 2",IF(AND(AD2&lt;=#REF!,AD2&gt;=#REF!),"CASE 1",IF(AND(AC2&gt;=#REF!,AD2&lt;=#REF!),"CASE 3",IF(AND(AC2&lt;=#REF!,AD2&gt;=#REF!),"CASE 4",FALSE()))))</f>
        <v>#REF!</v>
      </c>
      <c r="AE6" s="1">
        <v>0.30972409400000001</v>
      </c>
      <c r="AF6" t="e">
        <f>IF(AND(AF2&lt;=#REF!,AF2&gt;=#REF!),"CASE 2",IF(AND(AG2&lt;=#REF!,AG2&gt;=#REF!),"CASE 1",IF(AND(AF2&gt;=#REF!,AG2&lt;=#REF!),"CASE 3",IF(AND(AF2&lt;=#REF!,AG2&gt;=#REF!),"CASE 4",FALSE()))))</f>
        <v>#REF!</v>
      </c>
    </row>
    <row r="7" spans="1:33" x14ac:dyDescent="0.35">
      <c r="A7" s="1">
        <v>0.118408245</v>
      </c>
      <c r="B7" t="e">
        <f t="shared" ref="B7" si="0">IF(AND(B3&lt;=#REF!,B3&gt;=#REF!),"CASE 2",IF(AND(C3&lt;=#REF!,C3&gt;=#REF!),"CASE 1",IF(AND(B3&gt;=#REF!,C3&lt;=#REF!),"CASE 3",IF(AND(B3&lt;=#REF!,C3&gt;=#REF!),"CASE 4",FALSE()))))</f>
        <v>#REF!</v>
      </c>
      <c r="D7" s="1">
        <v>0.287255068</v>
      </c>
      <c r="E7" t="e">
        <f t="shared" ref="E7" si="1">IF(AND(E3&lt;=#REF!,E3&gt;=#REF!),"CASE 2",IF(AND(F3&lt;=#REF!,F3&gt;=#REF!),"CASE 1",IF(AND(E3&gt;=#REF!,F3&lt;=#REF!),"CASE 3",IF(AND(E3&lt;=#REF!,F3&gt;=#REF!),"CASE 4",FALSE()))))</f>
        <v>#REF!</v>
      </c>
      <c r="G7" s="1">
        <v>0.21572593200000001</v>
      </c>
      <c r="H7" t="e">
        <f t="shared" ref="H7" si="2">IF(AND(H3&lt;=#REF!,H3&gt;=#REF!),"CASE 2",IF(AND(I3&lt;=#REF!,I3&gt;=#REF!),"CASE 1",IF(AND(H3&gt;=#REF!,I3&lt;=#REF!),"CASE 3",IF(AND(H3&lt;=#REF!,I3&gt;=#REF!),"CASE 4",FALSE()))))</f>
        <v>#REF!</v>
      </c>
      <c r="J7" s="1">
        <v>0.16777903999999999</v>
      </c>
      <c r="K7" t="e">
        <f t="shared" ref="K7" si="3">IF(AND(K3&lt;=#REF!,K3&gt;=#REF!),"CASE 2",IF(AND(L3&lt;=#REF!,L3&gt;=#REF!),"CASE 1",IF(AND(K3&gt;=#REF!,L3&lt;=#REF!),"CASE 3",IF(AND(K3&lt;=#REF!,L3&gt;=#REF!),"CASE 4",FALSE()))))</f>
        <v>#REF!</v>
      </c>
      <c r="M7" s="1">
        <v>0.646563098</v>
      </c>
      <c r="N7" t="e">
        <f t="shared" ref="N7" si="4">IF(AND(N3&lt;=#REF!,N3&gt;=#REF!),"CASE 2",IF(AND(O3&lt;=#REF!,O3&gt;=#REF!),"CASE 1",IF(AND(N3&gt;=#REF!,O3&lt;=#REF!),"CASE 3",IF(AND(N3&lt;=#REF!,O3&gt;=#REF!),"CASE 4",FALSE()))))</f>
        <v>#REF!</v>
      </c>
      <c r="P7" s="1">
        <v>0.17410173500000001</v>
      </c>
      <c r="Q7" t="e">
        <f t="shared" ref="Q7" si="5">IF(AND(Q3&lt;=#REF!,Q3&gt;=#REF!),"CASE 2",IF(AND(R3&lt;=#REF!,R3&gt;=#REF!),"CASE 1",IF(AND(Q3&gt;=#REF!,R3&lt;=#REF!),"CASE 3",IF(AND(Q3&lt;=#REF!,R3&gt;=#REF!),"CASE 4",FALSE()))))</f>
        <v>#REF!</v>
      </c>
      <c r="S7" s="1">
        <v>0.16061028799999999</v>
      </c>
      <c r="T7" t="e">
        <f t="shared" ref="T7" si="6">IF(AND(T3&lt;=#REF!,T3&gt;=#REF!),"CASE 2",IF(AND(U3&lt;=#REF!,U3&gt;=#REF!),"CASE 1",IF(AND(T3&gt;=#REF!,U3&lt;=#REF!),"CASE 3",IF(AND(T3&lt;=#REF!,U3&gt;=#REF!),"CASE 4",FALSE()))))</f>
        <v>#REF!</v>
      </c>
      <c r="V7" s="1">
        <v>0.56250139399999999</v>
      </c>
      <c r="W7" t="e">
        <f t="shared" ref="W7" si="7">IF(AND(W3&lt;=#REF!,W3&gt;=#REF!),"CASE 2",IF(AND(X3&lt;=#REF!,X3&gt;=#REF!),"CASE 1",IF(AND(W3&gt;=#REF!,X3&lt;=#REF!),"CASE 3",IF(AND(W3&lt;=#REF!,X3&gt;=#REF!),"CASE 4",FALSE()))))</f>
        <v>#REF!</v>
      </c>
      <c r="Y7" s="1">
        <v>0.63018371699999998</v>
      </c>
      <c r="Z7" t="e">
        <f t="shared" ref="Z7" si="8">IF(AND(Z3&lt;=#REF!,Z3&gt;=#REF!),"CASE 2",IF(AND(AA3&lt;=#REF!,AA3&gt;=#REF!),"CASE 1",IF(AND(Z3&gt;=#REF!,AA3&lt;=#REF!),"CASE 3",IF(AND(Z3&lt;=#REF!,AA3&gt;=#REF!),"CASE 4",FALSE()))))</f>
        <v>#REF!</v>
      </c>
      <c r="AB7" s="1">
        <v>0.46199651800000002</v>
      </c>
      <c r="AC7" t="e">
        <f t="shared" ref="AC7" si="9">IF(AND(AC3&lt;=#REF!,AC3&gt;=#REF!),"CASE 2",IF(AND(AD3&lt;=#REF!,AD3&gt;=#REF!),"CASE 1",IF(AND(AC3&gt;=#REF!,AD3&lt;=#REF!),"CASE 3",IF(AND(AC3&lt;=#REF!,AD3&gt;=#REF!),"CASE 4",FALSE()))))</f>
        <v>#REF!</v>
      </c>
      <c r="AE7" s="1">
        <v>0.78618529100000001</v>
      </c>
      <c r="AF7" t="e">
        <f t="shared" ref="AF7" si="10">IF(AND(AF3&lt;=#REF!,AF3&gt;=#REF!),"CASE 2",IF(AND(AG3&lt;=#REF!,AG3&gt;=#REF!),"CASE 1",IF(AND(AF3&gt;=#REF!,AG3&lt;=#REF!),"CASE 3",IF(AND(AF3&lt;=#REF!,AG3&gt;=#REF!),"CASE 4",FALSE()))))</f>
        <v>#REF!</v>
      </c>
    </row>
    <row r="8" spans="1:33" x14ac:dyDescent="0.35">
      <c r="A8" s="1">
        <v>6.7015635000000004E-2</v>
      </c>
      <c r="B8" t="e">
        <f t="shared" ref="B8" si="11">IF(AND(B4&lt;=#REF!,B4&gt;=#REF!),"CASE 2",IF(AND(C4&lt;=#REF!,C4&gt;=#REF!),"CASE 1",IF(AND(B4&gt;=#REF!,C4&lt;=#REF!),"CASE 3",IF(AND(B4&lt;=#REF!,C4&gt;=#REF!),"CASE 4",FALSE()))))</f>
        <v>#REF!</v>
      </c>
      <c r="D8" s="1">
        <v>0.58630688099999995</v>
      </c>
      <c r="E8" t="e">
        <f t="shared" ref="E8" si="12">IF(AND(E4&lt;=#REF!,E4&gt;=#REF!),"CASE 2",IF(AND(F4&lt;=#REF!,F4&gt;=#REF!),"CASE 1",IF(AND(E4&gt;=#REF!,F4&lt;=#REF!),"CASE 3",IF(AND(E4&lt;=#REF!,F4&gt;=#REF!),"CASE 4",FALSE()))))</f>
        <v>#REF!</v>
      </c>
      <c r="G8" s="1">
        <v>5.9517322999999997E-2</v>
      </c>
      <c r="H8" t="e">
        <f t="shared" ref="H8" si="13">IF(AND(H4&lt;=#REF!,H4&gt;=#REF!),"CASE 2",IF(AND(I4&lt;=#REF!,I4&gt;=#REF!),"CASE 1",IF(AND(H4&gt;=#REF!,I4&lt;=#REF!),"CASE 3",IF(AND(H4&lt;=#REF!,I4&gt;=#REF!),"CASE 4",FALSE()))))</f>
        <v>#REF!</v>
      </c>
      <c r="J8" s="1">
        <v>0.17704387499999999</v>
      </c>
      <c r="K8" t="e">
        <f t="shared" ref="K8" si="14">IF(AND(K4&lt;=#REF!,K4&gt;=#REF!),"CASE 2",IF(AND(L4&lt;=#REF!,L4&gt;=#REF!),"CASE 1",IF(AND(K4&gt;=#REF!,L4&lt;=#REF!),"CASE 3",IF(AND(K4&lt;=#REF!,L4&gt;=#REF!),"CASE 4",FALSE()))))</f>
        <v>#REF!</v>
      </c>
      <c r="M8" s="1">
        <v>0.965935922</v>
      </c>
      <c r="N8" t="e">
        <f t="shared" ref="N8" si="15">IF(AND(N4&lt;=#REF!,N4&gt;=#REF!),"CASE 2",IF(AND(O4&lt;=#REF!,O4&gt;=#REF!),"CASE 1",IF(AND(N4&gt;=#REF!,O4&lt;=#REF!),"CASE 3",IF(AND(N4&lt;=#REF!,O4&gt;=#REF!),"CASE 4",FALSE()))))</f>
        <v>#REF!</v>
      </c>
      <c r="P8" s="1">
        <v>0.18889071299999999</v>
      </c>
      <c r="Q8" t="e">
        <f t="shared" ref="Q8" si="16">IF(AND(Q4&lt;=#REF!,Q4&gt;=#REF!),"CASE 2",IF(AND(R4&lt;=#REF!,R4&gt;=#REF!),"CASE 1",IF(AND(Q4&gt;=#REF!,R4&lt;=#REF!),"CASE 3",IF(AND(Q4&lt;=#REF!,R4&gt;=#REF!),"CASE 4",FALSE()))))</f>
        <v>#REF!</v>
      </c>
      <c r="S8" s="1">
        <v>0.111305871</v>
      </c>
      <c r="T8" t="e">
        <f t="shared" ref="T8" si="17">IF(AND(T4&lt;=#REF!,T4&gt;=#REF!),"CASE 2",IF(AND(U4&lt;=#REF!,U4&gt;=#REF!),"CASE 1",IF(AND(T4&gt;=#REF!,U4&lt;=#REF!),"CASE 3",IF(AND(T4&lt;=#REF!,U4&gt;=#REF!),"CASE 4",FALSE()))))</f>
        <v>#REF!</v>
      </c>
      <c r="V8" s="1">
        <v>0.170823955</v>
      </c>
      <c r="W8" t="e">
        <f t="shared" ref="W8" si="18">IF(AND(W4&lt;=#REF!,W4&gt;=#REF!),"CASE 2",IF(AND(X4&lt;=#REF!,X4&gt;=#REF!),"CASE 1",IF(AND(W4&gt;=#REF!,X4&lt;=#REF!),"CASE 3",IF(AND(W4&lt;=#REF!,X4&gt;=#REF!),"CASE 4",FALSE()))))</f>
        <v>#REF!</v>
      </c>
      <c r="Y8" s="1">
        <v>0.32233659199999998</v>
      </c>
      <c r="Z8" t="e">
        <f t="shared" ref="Z8" si="19">IF(AND(Z4&lt;=#REF!,Z4&gt;=#REF!),"CASE 2",IF(AND(AA4&lt;=#REF!,AA4&gt;=#REF!),"CASE 1",IF(AND(Z4&gt;=#REF!,AA4&lt;=#REF!),"CASE 3",IF(AND(Z4&lt;=#REF!,AA4&gt;=#REF!),"CASE 4",FALSE()))))</f>
        <v>#REF!</v>
      </c>
      <c r="AB8" s="1">
        <v>0.67936330199999995</v>
      </c>
      <c r="AC8" t="e">
        <f t="shared" ref="AC8" si="20">IF(AND(AC4&lt;=#REF!,AC4&gt;=#REF!),"CASE 2",IF(AND(AD4&lt;=#REF!,AD4&gt;=#REF!),"CASE 1",IF(AND(AC4&gt;=#REF!,AD4&lt;=#REF!),"CASE 3",IF(AND(AC4&lt;=#REF!,AD4&gt;=#REF!),"CASE 4",FALSE()))))</f>
        <v>#REF!</v>
      </c>
      <c r="AE8" s="1">
        <v>0.43261150599999998</v>
      </c>
      <c r="AF8" t="e">
        <f t="shared" ref="AF8" si="21">IF(AND(AF4&lt;=#REF!,AF4&gt;=#REF!),"CASE 2",IF(AND(AG4&lt;=#REF!,AG4&gt;=#REF!),"CASE 1",IF(AND(AF4&gt;=#REF!,AG4&lt;=#REF!),"CASE 3",IF(AND(AF4&lt;=#REF!,AG4&gt;=#REF!),"CASE 4",FALSE()))))</f>
        <v>#REF!</v>
      </c>
    </row>
    <row r="9" spans="1:33" x14ac:dyDescent="0.35">
      <c r="A9" s="1">
        <v>4.6893545000000002E-2</v>
      </c>
      <c r="B9" t="e">
        <f t="shared" ref="B9" si="22">IF(AND(B5&lt;=#REF!,B5&gt;=#REF!),"CASE 2",IF(AND(C5&lt;=#REF!,C5&gt;=#REF!),"CASE 1",IF(AND(B5&gt;=#REF!,C5&lt;=#REF!),"CASE 3",IF(AND(B5&lt;=#REF!,C5&gt;=#REF!),"CASE 4",FALSE()))))</f>
        <v>#REF!</v>
      </c>
      <c r="D9" s="1">
        <v>0.12701716399999999</v>
      </c>
      <c r="E9" t="e">
        <f t="shared" ref="E9" si="23">IF(AND(E5&lt;=#REF!,E5&gt;=#REF!),"CASE 2",IF(AND(F5&lt;=#REF!,F5&gt;=#REF!),"CASE 1",IF(AND(E5&gt;=#REF!,F5&lt;=#REF!),"CASE 3",IF(AND(E5&lt;=#REF!,F5&gt;=#REF!),"CASE 4",FALSE()))))</f>
        <v>#REF!</v>
      </c>
      <c r="G9" s="1">
        <v>0.12690421199999999</v>
      </c>
      <c r="H9" t="e">
        <f t="shared" ref="H9" si="24">IF(AND(H5&lt;=#REF!,H5&gt;=#REF!),"CASE 2",IF(AND(I5&lt;=#REF!,I5&gt;=#REF!),"CASE 1",IF(AND(H5&gt;=#REF!,I5&lt;=#REF!),"CASE 3",IF(AND(H5&lt;=#REF!,I5&gt;=#REF!),"CASE 4",FALSE()))))</f>
        <v>#REF!</v>
      </c>
      <c r="J9" s="1">
        <v>7.0848015E-2</v>
      </c>
      <c r="K9" t="e">
        <f t="shared" ref="K9" si="25">IF(AND(K5&lt;=#REF!,K5&gt;=#REF!),"CASE 2",IF(AND(L5&lt;=#REF!,L5&gt;=#REF!),"CASE 1",IF(AND(K5&gt;=#REF!,L5&lt;=#REF!),"CASE 3",IF(AND(K5&lt;=#REF!,L5&gt;=#REF!),"CASE 4",FALSE()))))</f>
        <v>#REF!</v>
      </c>
      <c r="M9" s="1">
        <v>0.23262360700000001</v>
      </c>
      <c r="N9" t="e">
        <f t="shared" ref="N9" si="26">IF(AND(N5&lt;=#REF!,N5&gt;=#REF!),"CASE 2",IF(AND(O5&lt;=#REF!,O5&gt;=#REF!),"CASE 1",IF(AND(N5&gt;=#REF!,O5&lt;=#REF!),"CASE 3",IF(AND(N5&lt;=#REF!,O5&gt;=#REF!),"CASE 4",FALSE()))))</f>
        <v>#REF!</v>
      </c>
      <c r="P9" s="1">
        <v>8.0507904000000005E-2</v>
      </c>
      <c r="Q9" t="e">
        <f t="shared" ref="Q9" si="27">IF(AND(Q5&lt;=#REF!,Q5&gt;=#REF!),"CASE 2",IF(AND(R5&lt;=#REF!,R5&gt;=#REF!),"CASE 1",IF(AND(Q5&gt;=#REF!,R5&lt;=#REF!),"CASE 3",IF(AND(Q5&lt;=#REF!,R5&gt;=#REF!),"CASE 4",FALSE()))))</f>
        <v>#REF!</v>
      </c>
      <c r="S9" s="1">
        <v>7.3405024999999999E-2</v>
      </c>
      <c r="T9" t="e">
        <f t="shared" ref="T9" si="28">IF(AND(T5&lt;=#REF!,T5&gt;=#REF!),"CASE 2",IF(AND(U5&lt;=#REF!,U5&gt;=#REF!),"CASE 1",IF(AND(T5&gt;=#REF!,U5&lt;=#REF!),"CASE 3",IF(AND(T5&lt;=#REF!,U5&gt;=#REF!),"CASE 4",FALSE()))))</f>
        <v>#REF!</v>
      </c>
      <c r="V9" s="1">
        <v>0.23933575900000001</v>
      </c>
      <c r="W9" t="e">
        <f t="shared" ref="W9" si="29">IF(AND(W5&lt;=#REF!,W5&gt;=#REF!),"CASE 2",IF(AND(X5&lt;=#REF!,X5&gt;=#REF!),"CASE 1",IF(AND(W5&gt;=#REF!,X5&lt;=#REF!),"CASE 3",IF(AND(W5&lt;=#REF!,X5&gt;=#REF!),"CASE 4",FALSE()))))</f>
        <v>#REF!</v>
      </c>
      <c r="Y9" s="1">
        <v>0.23138763200000001</v>
      </c>
      <c r="Z9" t="e">
        <f t="shared" ref="Z9" si="30">IF(AND(Z5&lt;=#REF!,Z5&gt;=#REF!),"CASE 2",IF(AND(AA5&lt;=#REF!,AA5&gt;=#REF!),"CASE 1",IF(AND(Z5&gt;=#REF!,AA5&lt;=#REF!),"CASE 3",IF(AND(Z5&lt;=#REF!,AA5&gt;=#REF!),"CASE 4",FALSE()))))</f>
        <v>#REF!</v>
      </c>
      <c r="AB9" s="1">
        <v>0.240015541</v>
      </c>
      <c r="AC9" t="e">
        <f t="shared" ref="AC9" si="31">IF(AND(AC5&lt;=#REF!,AC5&gt;=#REF!),"CASE 2",IF(AND(AD5&lt;=#REF!,AD5&gt;=#REF!),"CASE 1",IF(AND(AC5&gt;=#REF!,AD5&lt;=#REF!),"CASE 3",IF(AND(AC5&lt;=#REF!,AD5&gt;=#REF!),"CASE 4",FALSE()))))</f>
        <v>#REF!</v>
      </c>
      <c r="AE9" s="1">
        <v>0.48065391400000002</v>
      </c>
      <c r="AF9" t="e">
        <f t="shared" ref="AF9" si="32">IF(AND(AF5&lt;=#REF!,AF5&gt;=#REF!),"CASE 2",IF(AND(AG5&lt;=#REF!,AG5&gt;=#REF!),"CASE 1",IF(AND(AF5&gt;=#REF!,AG5&lt;=#REF!),"CASE 3",IF(AND(AF5&lt;=#REF!,AG5&gt;=#REF!),"CASE 4",FALSE()))))</f>
        <v>#REF!</v>
      </c>
    </row>
    <row r="11" spans="1:33" x14ac:dyDescent="0.35">
      <c r="A11" s="1" t="s">
        <v>1</v>
      </c>
    </row>
    <row r="12" spans="1:33" x14ac:dyDescent="0.35">
      <c r="A12" s="1">
        <v>16.424389600000001</v>
      </c>
      <c r="B12">
        <f>A12+A16</f>
        <v>16.440095063000001</v>
      </c>
      <c r="C12">
        <f>A12-A16</f>
        <v>16.408684137000002</v>
      </c>
      <c r="D12" s="1">
        <v>15.63007855</v>
      </c>
      <c r="E12">
        <f>D12+D16</f>
        <v>15.807657791</v>
      </c>
      <c r="F12">
        <f>D12-D16</f>
        <v>15.452499309</v>
      </c>
      <c r="G12" s="1">
        <v>15.905393180000001</v>
      </c>
      <c r="H12">
        <f>G12+G16</f>
        <v>15.933956964</v>
      </c>
      <c r="I12">
        <f>G12-G16</f>
        <v>15.876829396000002</v>
      </c>
      <c r="J12" s="1">
        <v>15.966458080000001</v>
      </c>
      <c r="K12">
        <f>J12+J16</f>
        <v>16.010720951</v>
      </c>
      <c r="L12">
        <f>J12-J16</f>
        <v>15.922195209</v>
      </c>
      <c r="M12" s="1">
        <v>15.806308509999999</v>
      </c>
      <c r="N12">
        <f>M12+M16</f>
        <v>15.972601249999999</v>
      </c>
      <c r="O12">
        <f>M12-M16</f>
        <v>15.64001577</v>
      </c>
      <c r="P12" s="1">
        <v>15.647233010000001</v>
      </c>
      <c r="Q12">
        <f>P12+P16</f>
        <v>15.697306326000001</v>
      </c>
      <c r="R12">
        <f>P12-P16</f>
        <v>15.597159694</v>
      </c>
      <c r="S12" s="1">
        <v>16.119581700000001</v>
      </c>
      <c r="T12">
        <f>S12+S16</f>
        <v>16.149647074000001</v>
      </c>
      <c r="U12">
        <f>S12-S16</f>
        <v>16.089516326000002</v>
      </c>
      <c r="V12" s="1">
        <v>15.49309015</v>
      </c>
      <c r="W12">
        <f>V12+V16</f>
        <v>15.562314491</v>
      </c>
      <c r="X12">
        <f>V12-V16</f>
        <v>15.423865809</v>
      </c>
      <c r="Y12" s="1">
        <v>14.83816195</v>
      </c>
      <c r="Z12">
        <f>Y12+Y16</f>
        <v>14.913969627</v>
      </c>
      <c r="AA12">
        <f>Y12-Y16</f>
        <v>14.762354273</v>
      </c>
      <c r="AB12" s="1">
        <v>14.963228579999999</v>
      </c>
      <c r="AC12">
        <f>AB12+AB16</f>
        <v>15.083314713999998</v>
      </c>
      <c r="AD12">
        <f>AB12-AB16</f>
        <v>14.843142446</v>
      </c>
      <c r="AE12" s="1">
        <v>15.36866498</v>
      </c>
      <c r="AF12">
        <f>AE12+AE16</f>
        <v>15.678389074</v>
      </c>
      <c r="AG12">
        <f>AE12-AE16</f>
        <v>15.058940886</v>
      </c>
    </row>
    <row r="13" spans="1:33" x14ac:dyDescent="0.35">
      <c r="A13" s="1">
        <v>3.9736948010000002</v>
      </c>
      <c r="B13">
        <f>A13+A17</f>
        <v>4.0921030460000001</v>
      </c>
      <c r="C13">
        <f>A13-A17</f>
        <v>3.8552865560000003</v>
      </c>
      <c r="D13" s="1">
        <v>3.4747671410000001</v>
      </c>
      <c r="E13">
        <f>D13+D17</f>
        <v>3.762022209</v>
      </c>
      <c r="F13">
        <f>D13-D17</f>
        <v>3.1875120730000002</v>
      </c>
      <c r="G13" s="1">
        <v>4.232208967</v>
      </c>
      <c r="H13">
        <f>G13+G17</f>
        <v>4.4479348989999998</v>
      </c>
      <c r="I13">
        <f>G13-G17</f>
        <v>4.0164830350000003</v>
      </c>
      <c r="J13" s="1">
        <v>4.3308392759999998</v>
      </c>
      <c r="K13">
        <f>J13+J17</f>
        <v>4.498618316</v>
      </c>
      <c r="L13">
        <f>J13-J17</f>
        <v>4.1630602359999997</v>
      </c>
      <c r="M13" s="1">
        <v>4.1534192560000003</v>
      </c>
      <c r="N13">
        <f>M13+M17</f>
        <v>4.799982354</v>
      </c>
      <c r="O13">
        <f>M13-M17</f>
        <v>3.5068561580000002</v>
      </c>
      <c r="P13" s="1">
        <v>4.4311825039999997</v>
      </c>
      <c r="Q13">
        <f>P13+P17</f>
        <v>4.6052842389999995</v>
      </c>
      <c r="R13">
        <f>P13-P17</f>
        <v>4.2570807689999999</v>
      </c>
      <c r="S13" s="1">
        <v>4.0014736060000002</v>
      </c>
      <c r="T13">
        <f>S13+S17</f>
        <v>4.1620838940000002</v>
      </c>
      <c r="U13">
        <f>S13-S17</f>
        <v>3.8408633180000002</v>
      </c>
      <c r="V13" s="1">
        <v>4.7076784370000002</v>
      </c>
      <c r="W13">
        <f>V13+V17</f>
        <v>5.2701798310000001</v>
      </c>
      <c r="X13">
        <f>V13-V17</f>
        <v>4.1451770430000003</v>
      </c>
      <c r="Y13" s="1">
        <v>4.3816028830000002</v>
      </c>
      <c r="Z13">
        <f>Y13+Y17</f>
        <v>5.0117866000000006</v>
      </c>
      <c r="AA13">
        <f>Y13-Y17</f>
        <v>3.7514191660000002</v>
      </c>
      <c r="AB13" s="1">
        <v>5.1357114020000001</v>
      </c>
      <c r="AC13">
        <f>AB13+AB17</f>
        <v>5.5977079200000004</v>
      </c>
      <c r="AD13">
        <f>AB13-AB17</f>
        <v>4.6737148839999998</v>
      </c>
      <c r="AE13" s="1">
        <v>5.9615473750000003</v>
      </c>
      <c r="AF13">
        <f>AE13+AE17</f>
        <v>6.7477326660000001</v>
      </c>
      <c r="AG13">
        <f>AE13-AE17</f>
        <v>5.1753620840000005</v>
      </c>
    </row>
    <row r="14" spans="1:33" x14ac:dyDescent="0.35">
      <c r="A14" s="1">
        <v>2.710234501</v>
      </c>
      <c r="B14">
        <f>A14+A17</f>
        <v>2.8286427459999999</v>
      </c>
      <c r="C14">
        <f>A14-A17</f>
        <v>2.5918262560000001</v>
      </c>
      <c r="D14" s="1">
        <v>2.633606935</v>
      </c>
      <c r="E14">
        <f>D14+D17</f>
        <v>2.9208620029999999</v>
      </c>
      <c r="F14">
        <f>D14-D17</f>
        <v>2.3463518670000001</v>
      </c>
      <c r="G14" s="1">
        <v>1.1127917919999999</v>
      </c>
      <c r="H14">
        <f>G14+G17</f>
        <v>1.3285177239999999</v>
      </c>
      <c r="I14">
        <f>G14-G17</f>
        <v>0.89706585999999988</v>
      </c>
      <c r="J14" s="1">
        <v>2.4038936909999999</v>
      </c>
      <c r="K14">
        <f>J14+J17</f>
        <v>2.571672731</v>
      </c>
      <c r="L14">
        <f>J14-J17</f>
        <v>2.2361146509999998</v>
      </c>
      <c r="M14" s="1">
        <v>3.2501405179999998</v>
      </c>
      <c r="N14">
        <f>M14+M17</f>
        <v>3.8967036159999999</v>
      </c>
      <c r="O14">
        <f>M14-M17</f>
        <v>2.6035774199999997</v>
      </c>
      <c r="P14" s="1">
        <v>2.6461128440000001</v>
      </c>
      <c r="Q14">
        <f>P14+P17</f>
        <v>2.8202145789999999</v>
      </c>
      <c r="R14">
        <f>P14-P17</f>
        <v>2.4720111090000003</v>
      </c>
      <c r="S14" s="1">
        <v>2.0294176039999998</v>
      </c>
      <c r="T14">
        <f>S14+S17</f>
        <v>2.1900278919999998</v>
      </c>
      <c r="U14">
        <f>S14-S17</f>
        <v>1.8688073159999998</v>
      </c>
      <c r="V14" s="1">
        <v>1.5285465309999999</v>
      </c>
      <c r="W14">
        <f>V14+V17</f>
        <v>2.0910479249999998</v>
      </c>
      <c r="X14">
        <f>V14-V17</f>
        <v>0.96604513699999994</v>
      </c>
      <c r="Y14" s="1">
        <v>2.0039532740000001</v>
      </c>
      <c r="Z14">
        <f>Y14+Y17</f>
        <v>2.6341369910000001</v>
      </c>
      <c r="AA14">
        <f>Y14-Y17</f>
        <v>1.3737695570000001</v>
      </c>
      <c r="AB14" s="1">
        <v>2.9339711589999999</v>
      </c>
      <c r="AC14">
        <f>AB14+AB17</f>
        <v>3.3959676769999998</v>
      </c>
      <c r="AD14">
        <f>AB14-AB17</f>
        <v>2.4719746410000001</v>
      </c>
      <c r="AE14" s="1">
        <v>1.904185027</v>
      </c>
      <c r="AF14">
        <f>AE14+AE17</f>
        <v>2.6903703180000003</v>
      </c>
      <c r="AG14">
        <f>AE14-AE17</f>
        <v>1.117999736</v>
      </c>
    </row>
    <row r="15" spans="1:33" x14ac:dyDescent="0.35">
      <c r="A15" s="1">
        <v>1.9291286510000001</v>
      </c>
      <c r="B15">
        <f>A15+A19</f>
        <v>1.9760221960000002</v>
      </c>
      <c r="C15">
        <f>A15-A19</f>
        <v>1.882235106</v>
      </c>
      <c r="D15" s="1">
        <v>1.8123989250000001</v>
      </c>
      <c r="E15">
        <f>D15+D19</f>
        <v>1.9394160890000001</v>
      </c>
      <c r="F15">
        <f>D15-D19</f>
        <v>1.6853817610000001</v>
      </c>
      <c r="G15" s="1">
        <v>1.950793743</v>
      </c>
      <c r="H15">
        <f>G15+G19</f>
        <v>2.0776979550000001</v>
      </c>
      <c r="I15">
        <f>G15-G19</f>
        <v>1.8238895310000001</v>
      </c>
      <c r="J15" s="1">
        <v>1.8962831499999999</v>
      </c>
      <c r="K15">
        <f>J15+J19</f>
        <v>1.9671311649999998</v>
      </c>
      <c r="L15">
        <f>J15-J19</f>
        <v>1.825435135</v>
      </c>
      <c r="M15" s="1">
        <v>2.2838308810000001</v>
      </c>
      <c r="N15">
        <f>M15+M19</f>
        <v>2.5164544879999999</v>
      </c>
      <c r="O15">
        <f>M15-M19</f>
        <v>2.0512072740000002</v>
      </c>
      <c r="P15" s="1">
        <v>2.0806237460000001</v>
      </c>
      <c r="Q15">
        <f>P15+P19</f>
        <v>2.1611316500000002</v>
      </c>
      <c r="R15">
        <f>P15-P19</f>
        <v>2.000115842</v>
      </c>
      <c r="S15" s="1">
        <v>1.67382282</v>
      </c>
      <c r="T15">
        <f>S15+S19</f>
        <v>1.7472278450000001</v>
      </c>
      <c r="U15">
        <f>S15-S19</f>
        <v>1.600417795</v>
      </c>
      <c r="V15" s="1">
        <v>1.9349431989999999</v>
      </c>
      <c r="W15">
        <f>V15+V19</f>
        <v>2.1742789579999999</v>
      </c>
      <c r="X15">
        <f>V15-V19</f>
        <v>1.6956074399999999</v>
      </c>
      <c r="Y15" s="1">
        <v>1.9068658350000001</v>
      </c>
      <c r="Z15">
        <f>Y15+Y19</f>
        <v>2.1382534670000002</v>
      </c>
      <c r="AA15">
        <f>Y15-Y19</f>
        <v>1.6754782029999999</v>
      </c>
      <c r="AB15" s="1">
        <v>1.719951749</v>
      </c>
      <c r="AC15">
        <f>AB15+AB19</f>
        <v>1.95996729</v>
      </c>
      <c r="AD15">
        <f>AB15-AB19</f>
        <v>1.479936208</v>
      </c>
      <c r="AE15" s="1">
        <v>1.366675377</v>
      </c>
      <c r="AF15">
        <f>AE15+AE19</f>
        <v>1.8473292909999999</v>
      </c>
      <c r="AG15">
        <f>AE15-AE19</f>
        <v>0.88602146299999995</v>
      </c>
    </row>
    <row r="16" spans="1:33" x14ac:dyDescent="0.35">
      <c r="A16" s="1">
        <v>1.5705462999999999E-2</v>
      </c>
      <c r="B16" t="str">
        <f>IF(AND(B12&lt;=B2,B12&gt;=C2),"CASE 2",IF(AND(C12&lt;=B2,C12&gt;=C2),"CASE 1",IF(AND(B12&gt;=B2,C12&lt;=C2),"CASE 3",IF(AND(B12&lt;=B2,C12&gt;=C2),"CASE 4",FALSE()))))</f>
        <v>CASE 2</v>
      </c>
      <c r="D16" s="1">
        <v>0.177579241</v>
      </c>
      <c r="E16" t="str">
        <f>IF(AND(E12&lt;=E2,E12&gt;=F2),"CASE 2",IF(AND(F12&lt;=E2,F12&gt;=F2),"CASE 1",IF(AND(E12&gt;=E2,F12&lt;=F2),"CASE 3",IF(AND(E12&lt;=E2,F12&gt;=F2),"CASE 4",FALSE()))))</f>
        <v>CASE 2</v>
      </c>
      <c r="G16" s="1">
        <v>2.8563783999999998E-2</v>
      </c>
      <c r="H16" t="str">
        <f>IF(AND(H12&lt;=H2,H12&gt;=I2),"CASE 2",IF(AND(I12&lt;=H2,I12&gt;=I2),"CASE 1",IF(AND(H12&gt;=H2,I12&lt;=I2),"CASE 3",IF(AND(H12&lt;=H2,I12&gt;=I2),"CASE 4",FALSE()))))</f>
        <v>CASE 2</v>
      </c>
      <c r="J16" s="1">
        <v>4.4262871000000002E-2</v>
      </c>
      <c r="K16" t="str">
        <f>IF(AND(K12&lt;=K2,K12&gt;=L2),"CASE 2",IF(AND(L12&lt;=K2,L12&gt;=L2),"CASE 1",IF(AND(K12&gt;=K2,L12&lt;=L2),"CASE 3",IF(AND(K12&lt;=K2,L12&gt;=L2),"CASE 4",FALSE()))))</f>
        <v>CASE 2</v>
      </c>
      <c r="M16" s="1">
        <v>0.16629273999999999</v>
      </c>
      <c r="N16" t="str">
        <f>IF(AND(N12&lt;=N2,N12&gt;=O2),"CASE 2",IF(AND(O12&lt;=N2,O12&gt;=O2),"CASE 1",IF(AND(N12&gt;=N2,O12&lt;=O2),"CASE 3",IF(AND(N12&lt;=N2,O12&gt;=O2),"CASE 4",FALSE()))))</f>
        <v>CASE 2</v>
      </c>
      <c r="P16" s="1">
        <v>5.0073316E-2</v>
      </c>
      <c r="Q16" t="str">
        <f>IF(AND(Q12&lt;=Q2,Q12&gt;=R2),"CASE 2",IF(AND(R12&lt;=Q2,R12&gt;=R2),"CASE 1",IF(AND(Q12&gt;=Q2,R12&lt;=R2),"CASE 3",IF(AND(Q12&lt;=Q2,R12&gt;=R2),"CASE 4",FALSE()))))</f>
        <v>CASE 2</v>
      </c>
      <c r="S16" s="1">
        <v>3.0065373999999999E-2</v>
      </c>
      <c r="T16" t="str">
        <f>IF(AND(T12&lt;=T2,T12&gt;=U2),"CASE 2",IF(AND(U12&lt;=T2,U12&gt;=U2),"CASE 1",IF(AND(T12&gt;=T2,U12&lt;=U2),"CASE 3",IF(AND(T12&lt;=T2,U12&gt;=U2),"CASE 4",FALSE()))))</f>
        <v>CASE 2</v>
      </c>
      <c r="V16" s="1">
        <v>6.9224340999999995E-2</v>
      </c>
      <c r="W16" t="str">
        <f>IF(AND(W12&lt;=W2,W12&gt;=X2),"CASE 2",IF(AND(X12&lt;=W2,X12&gt;=X2),"CASE 1",IF(AND(W12&gt;=W2,X12&lt;=X2),"CASE 3",IF(AND(W12&lt;=W2,X12&gt;=X2),"CASE 4",FALSE()))))</f>
        <v>CASE 2</v>
      </c>
      <c r="Y16" s="1">
        <v>7.5807677000000004E-2</v>
      </c>
      <c r="Z16" t="str">
        <f>IF(AND(Z12&lt;=Z2,Z12&gt;=AA2),"CASE 2",IF(AND(AA12&lt;=Z2,AA12&gt;=AA2),"CASE 1",IF(AND(Z12&gt;=Z2,AA12&lt;=AA2),"CASE 3",IF(AND(Z12&lt;=Z2,AA12&gt;=AA2),"CASE 4",FALSE()))))</f>
        <v>CASE 2</v>
      </c>
      <c r="AB16" s="1">
        <v>0.120086134</v>
      </c>
      <c r="AC16" t="str">
        <f>IF(AND(AC12&lt;=AC2,AC12&gt;=AD2),"CASE 2",IF(AND(AD12&lt;=AC2,AD12&gt;=AD2),"CASE 1",IF(AND(AC12&gt;=AC2,AD12&lt;=AD2),"CASE 3",IF(AND(AC12&lt;=AC2,AD12&gt;=AD2),"CASE 4",FALSE()))))</f>
        <v>CASE 2</v>
      </c>
      <c r="AE16" s="1">
        <v>0.30972409400000001</v>
      </c>
      <c r="AF16" t="str">
        <f>IF(AND(AF12&lt;=AF2,AF12&gt;=AG2),"CASE 2",IF(AND(AG12&lt;=AF2,AG12&gt;=AG2),"CASE 1",IF(AND(AF12&gt;=AF2,AG12&lt;=AG2),"CASE 3",IF(AND(AF12&lt;=AF2,AG12&gt;=AG2),"CASE 4",FALSE()))))</f>
        <v>CASE 2</v>
      </c>
    </row>
    <row r="17" spans="1:33" x14ac:dyDescent="0.35">
      <c r="A17" s="1">
        <v>0.118408245</v>
      </c>
      <c r="B17" t="str">
        <f t="shared" ref="B17:B19" si="33">IF(AND(B13&lt;=B3,B13&gt;=C3),"CASE 2",IF(AND(C13&lt;=B3,C13&gt;=C3),"CASE 1",IF(AND(B13&gt;=B3,C13&lt;=C3),"CASE 3",IF(AND(B13&lt;=B3,C13&gt;=C3),"CASE 4",FALSE()))))</f>
        <v>CASE 2</v>
      </c>
      <c r="D17" s="1">
        <v>0.287255068</v>
      </c>
      <c r="E17" t="str">
        <f t="shared" ref="E17:E19" si="34">IF(AND(E13&lt;=E3,E13&gt;=F3),"CASE 2",IF(AND(F13&lt;=E3,F13&gt;=F3),"CASE 1",IF(AND(E13&gt;=E3,F13&lt;=F3),"CASE 3",IF(AND(E13&lt;=E3,F13&gt;=F3),"CASE 4",FALSE()))))</f>
        <v>CASE 2</v>
      </c>
      <c r="G17" s="1">
        <v>0.21572593200000001</v>
      </c>
      <c r="H17" t="str">
        <f t="shared" ref="H17:H19" si="35">IF(AND(H13&lt;=H3,H13&gt;=I3),"CASE 2",IF(AND(I13&lt;=H3,I13&gt;=I3),"CASE 1",IF(AND(H13&gt;=H3,I13&lt;=I3),"CASE 3",IF(AND(H13&lt;=H3,I13&gt;=I3),"CASE 4",FALSE()))))</f>
        <v>CASE 2</v>
      </c>
      <c r="J17" s="1">
        <v>0.16777903999999999</v>
      </c>
      <c r="K17" t="str">
        <f t="shared" ref="K17:K19" si="36">IF(AND(K13&lt;=K3,K13&gt;=L3),"CASE 2",IF(AND(L13&lt;=K3,L13&gt;=L3),"CASE 1",IF(AND(K13&gt;=K3,L13&lt;=L3),"CASE 3",IF(AND(K13&lt;=K3,L13&gt;=L3),"CASE 4",FALSE()))))</f>
        <v>CASE 2</v>
      </c>
      <c r="M17" s="1">
        <v>0.646563098</v>
      </c>
      <c r="N17" t="str">
        <f t="shared" ref="N17:N19" si="37">IF(AND(N13&lt;=N3,N13&gt;=O3),"CASE 2",IF(AND(O13&lt;=N3,O13&gt;=O3),"CASE 1",IF(AND(N13&gt;=N3,O13&lt;=O3),"CASE 3",IF(AND(N13&lt;=N3,O13&gt;=O3),"CASE 4",FALSE()))))</f>
        <v>CASE 2</v>
      </c>
      <c r="P17" s="1">
        <v>0.17410173500000001</v>
      </c>
      <c r="Q17" t="str">
        <f t="shared" ref="Q17:Q19" si="38">IF(AND(Q13&lt;=Q3,Q13&gt;=R3),"CASE 2",IF(AND(R13&lt;=Q3,R13&gt;=R3),"CASE 1",IF(AND(Q13&gt;=Q3,R13&lt;=R3),"CASE 3",IF(AND(Q13&lt;=Q3,R13&gt;=R3),"CASE 4",FALSE()))))</f>
        <v>CASE 2</v>
      </c>
      <c r="S17" s="1">
        <v>0.16061028799999999</v>
      </c>
      <c r="T17" t="str">
        <f t="shared" ref="T17:T19" si="39">IF(AND(T13&lt;=T3,T13&gt;=U3),"CASE 2",IF(AND(U13&lt;=T3,U13&gt;=U3),"CASE 1",IF(AND(T13&gt;=T3,U13&lt;=U3),"CASE 3",IF(AND(T13&lt;=T3,U13&gt;=U3),"CASE 4",FALSE()))))</f>
        <v>CASE 2</v>
      </c>
      <c r="V17" s="1">
        <v>0.56250139399999999</v>
      </c>
      <c r="W17" t="str">
        <f t="shared" ref="W17:W19" si="40">IF(AND(W13&lt;=W3,W13&gt;=X3),"CASE 2",IF(AND(X13&lt;=W3,X13&gt;=X3),"CASE 1",IF(AND(W13&gt;=W3,X13&lt;=X3),"CASE 3",IF(AND(W13&lt;=W3,X13&gt;=X3),"CASE 4",FALSE()))))</f>
        <v>CASE 2</v>
      </c>
      <c r="Y17" s="1">
        <v>0.63018371699999998</v>
      </c>
      <c r="Z17" t="str">
        <f t="shared" ref="Z17:Z19" si="41">IF(AND(Z13&lt;=Z3,Z13&gt;=AA3),"CASE 2",IF(AND(AA13&lt;=Z3,AA13&gt;=AA3),"CASE 1",IF(AND(Z13&gt;=Z3,AA13&lt;=AA3),"CASE 3",IF(AND(Z13&lt;=Z3,AA13&gt;=AA3),"CASE 4",FALSE()))))</f>
        <v>CASE 2</v>
      </c>
      <c r="AB17" s="1">
        <v>0.46199651800000002</v>
      </c>
      <c r="AC17" t="str">
        <f t="shared" ref="AC17:AC19" si="42">IF(AND(AC13&lt;=AC3,AC13&gt;=AD3),"CASE 2",IF(AND(AD13&lt;=AC3,AD13&gt;=AD3),"CASE 1",IF(AND(AC13&gt;=AC3,AD13&lt;=AD3),"CASE 3",IF(AND(AC13&lt;=AC3,AD13&gt;=AD3),"CASE 4",FALSE()))))</f>
        <v>CASE 2</v>
      </c>
      <c r="AE17" s="1">
        <v>0.78618529100000001</v>
      </c>
      <c r="AF17" t="str">
        <f t="shared" ref="AF17:AF19" si="43">IF(AND(AF13&lt;=AF3,AF13&gt;=AG3),"CASE 2",IF(AND(AG13&lt;=AF3,AG13&gt;=AG3),"CASE 1",IF(AND(AF13&gt;=AF3,AG13&lt;=AG3),"CASE 3",IF(AND(AF13&lt;=AF3,AG13&gt;=AG3),"CASE 4",FALSE()))))</f>
        <v>CASE 2</v>
      </c>
    </row>
    <row r="18" spans="1:33" x14ac:dyDescent="0.35">
      <c r="A18" s="1">
        <v>6.7015635000000004E-2</v>
      </c>
      <c r="B18" t="str">
        <f t="shared" si="33"/>
        <v>CASE 2</v>
      </c>
      <c r="D18" s="1">
        <v>0.58630688099999995</v>
      </c>
      <c r="E18" t="str">
        <f t="shared" si="34"/>
        <v>CASE 2</v>
      </c>
      <c r="G18" s="1">
        <v>5.9517322999999997E-2</v>
      </c>
      <c r="H18" t="str">
        <f t="shared" si="35"/>
        <v>CASE 2</v>
      </c>
      <c r="J18" s="1">
        <v>0.17704387499999999</v>
      </c>
      <c r="K18" t="str">
        <f t="shared" si="36"/>
        <v>CASE 2</v>
      </c>
      <c r="M18" s="1">
        <v>0.965935922</v>
      </c>
      <c r="N18" t="str">
        <f t="shared" si="37"/>
        <v>CASE 2</v>
      </c>
      <c r="P18" s="1">
        <v>0.18889071299999999</v>
      </c>
      <c r="Q18" t="str">
        <f t="shared" si="38"/>
        <v>CASE 2</v>
      </c>
      <c r="S18" s="1">
        <v>0.111305871</v>
      </c>
      <c r="T18" t="str">
        <f t="shared" si="39"/>
        <v>CASE 2</v>
      </c>
      <c r="V18" s="1">
        <v>0.170823955</v>
      </c>
      <c r="W18" t="str">
        <f t="shared" si="40"/>
        <v>CASE 2</v>
      </c>
      <c r="Y18" s="1">
        <v>0.32233659199999998</v>
      </c>
      <c r="Z18" t="str">
        <f t="shared" si="41"/>
        <v>CASE 2</v>
      </c>
      <c r="AB18" s="1">
        <v>0.67936330199999995</v>
      </c>
      <c r="AC18" t="str">
        <f t="shared" si="42"/>
        <v>CASE 2</v>
      </c>
      <c r="AE18" s="1">
        <v>0.43261150599999998</v>
      </c>
      <c r="AF18" t="str">
        <f t="shared" si="43"/>
        <v>CASE 2</v>
      </c>
    </row>
    <row r="19" spans="1:33" x14ac:dyDescent="0.35">
      <c r="A19" s="1">
        <v>4.6893545000000002E-2</v>
      </c>
      <c r="B19" t="str">
        <f t="shared" si="33"/>
        <v>CASE 2</v>
      </c>
      <c r="D19" s="1">
        <v>0.12701716399999999</v>
      </c>
      <c r="E19" t="str">
        <f t="shared" si="34"/>
        <v>CASE 2</v>
      </c>
      <c r="G19" s="1">
        <v>0.12690421199999999</v>
      </c>
      <c r="H19" t="str">
        <f t="shared" si="35"/>
        <v>CASE 2</v>
      </c>
      <c r="J19" s="1">
        <v>7.0848015E-2</v>
      </c>
      <c r="K19" t="str">
        <f t="shared" si="36"/>
        <v>CASE 2</v>
      </c>
      <c r="M19" s="1">
        <v>0.23262360700000001</v>
      </c>
      <c r="N19" t="str">
        <f t="shared" si="37"/>
        <v>CASE 2</v>
      </c>
      <c r="P19" s="1">
        <v>8.0507904000000005E-2</v>
      </c>
      <c r="Q19" t="str">
        <f t="shared" si="38"/>
        <v>CASE 2</v>
      </c>
      <c r="S19" s="1">
        <v>7.3405024999999999E-2</v>
      </c>
      <c r="T19" t="str">
        <f t="shared" si="39"/>
        <v>CASE 2</v>
      </c>
      <c r="V19" s="1">
        <v>0.23933575900000001</v>
      </c>
      <c r="W19" t="str">
        <f t="shared" si="40"/>
        <v>CASE 2</v>
      </c>
      <c r="Y19" s="1">
        <v>0.23138763200000001</v>
      </c>
      <c r="Z19" t="str">
        <f t="shared" si="41"/>
        <v>CASE 2</v>
      </c>
      <c r="AB19" s="1">
        <v>0.240015541</v>
      </c>
      <c r="AC19" t="str">
        <f t="shared" si="42"/>
        <v>CASE 2</v>
      </c>
      <c r="AE19" s="1">
        <v>0.48065391400000002</v>
      </c>
      <c r="AF19" t="str">
        <f t="shared" si="43"/>
        <v>CASE 2</v>
      </c>
    </row>
    <row r="21" spans="1:33" x14ac:dyDescent="0.35">
      <c r="A21" s="1" t="s">
        <v>2</v>
      </c>
    </row>
    <row r="22" spans="1:33" x14ac:dyDescent="0.35">
      <c r="A22" s="1">
        <v>16.43207073</v>
      </c>
      <c r="B22">
        <f>A22+A26</f>
        <v>16.520500488669999</v>
      </c>
      <c r="C22">
        <f>A22-A26</f>
        <v>16.34364097133</v>
      </c>
      <c r="D22" s="1">
        <v>15.45696497</v>
      </c>
      <c r="E22">
        <f>D22+D26</f>
        <v>15.9500438727</v>
      </c>
      <c r="F22">
        <f>D22-D26</f>
        <v>14.963886067299999</v>
      </c>
      <c r="G22" s="1">
        <v>15.90948081</v>
      </c>
      <c r="H22">
        <f>G22+G26</f>
        <v>16.00502529513</v>
      </c>
      <c r="I22">
        <f>G22-G26</f>
        <v>15.813936324869999</v>
      </c>
      <c r="J22" s="1">
        <v>15.871792320000001</v>
      </c>
      <c r="K22">
        <f>J22+J26</f>
        <v>16.0203166075</v>
      </c>
      <c r="L22">
        <f>J22-J26</f>
        <v>15.7232680325</v>
      </c>
      <c r="M22" s="1">
        <v>15.8119061</v>
      </c>
      <c r="N22">
        <f>M22+M26</f>
        <v>16.2958368382</v>
      </c>
      <c r="O22">
        <f>M22-M26</f>
        <v>15.3279753618</v>
      </c>
      <c r="P22" s="1">
        <v>15.724308069999999</v>
      </c>
      <c r="Q22">
        <f>P22+P26</f>
        <v>15.8927751661</v>
      </c>
      <c r="R22">
        <f>P22-P26</f>
        <v>15.555840973899999</v>
      </c>
      <c r="S22" s="1">
        <v>16.08496225</v>
      </c>
      <c r="T22">
        <f>S22+S26</f>
        <v>16.180545249000001</v>
      </c>
      <c r="U22">
        <f>S22-S26</f>
        <v>15.989379251000001</v>
      </c>
      <c r="V22" s="1">
        <v>14.82395077</v>
      </c>
      <c r="W22">
        <f>V22+V26</f>
        <v>15.0706512635</v>
      </c>
      <c r="X22">
        <f>V22-V26</f>
        <v>14.577250276499999</v>
      </c>
      <c r="Y22" s="1">
        <v>14.78333473</v>
      </c>
      <c r="Z22">
        <f>Y22+Y26</f>
        <v>15.0426574032</v>
      </c>
      <c r="AA22">
        <f>Y22-Y26</f>
        <v>14.5240120568</v>
      </c>
      <c r="AB22" s="1">
        <v>15.014064550000001</v>
      </c>
      <c r="AC22">
        <f>AB22+AB26</f>
        <v>15.405841045300001</v>
      </c>
      <c r="AD22">
        <f>AB22-AB26</f>
        <v>14.6222880547</v>
      </c>
      <c r="AE22" s="1">
        <v>15.994587900000001</v>
      </c>
      <c r="AF22">
        <f>AE22+AE26</f>
        <v>16.792318103300001</v>
      </c>
      <c r="AG22">
        <f>AE22-AE26</f>
        <v>15.1968576967</v>
      </c>
    </row>
    <row r="23" spans="1:33" x14ac:dyDescent="0.35">
      <c r="A23" s="1">
        <v>4.3758046630000003</v>
      </c>
      <c r="B23">
        <f>A23+A27</f>
        <v>5.3648045461000002</v>
      </c>
      <c r="C23">
        <f>A23-A27</f>
        <v>3.3868047799000003</v>
      </c>
      <c r="D23" s="1">
        <v>3.66436553</v>
      </c>
      <c r="E23">
        <f>D23+D27</f>
        <v>4.7310086380000005</v>
      </c>
      <c r="F23">
        <f>D23-D27</f>
        <v>2.5977224219999999</v>
      </c>
      <c r="G23" s="1">
        <v>4.314813107</v>
      </c>
      <c r="H23">
        <f>G23+G27</f>
        <v>5.0638773537999997</v>
      </c>
      <c r="I23">
        <f>G23-G27</f>
        <v>3.5657488601999998</v>
      </c>
      <c r="J23" s="1">
        <v>4.2401317949999999</v>
      </c>
      <c r="K23">
        <f>J23+J27</f>
        <v>4.8664125793000004</v>
      </c>
      <c r="L23">
        <f>J23-J27</f>
        <v>3.6138510106999999</v>
      </c>
      <c r="M23" s="1">
        <v>4.3517668250000003</v>
      </c>
      <c r="N23">
        <f>M23+M27</f>
        <v>6.3986003470000004</v>
      </c>
      <c r="O23">
        <f>M23-M27</f>
        <v>2.3049333030000003</v>
      </c>
      <c r="P23" s="1">
        <v>4.370222032</v>
      </c>
      <c r="Q23">
        <f>P23+P27</f>
        <v>4.8892955966000002</v>
      </c>
      <c r="R23">
        <f>P23-P27</f>
        <v>3.8511484673999998</v>
      </c>
      <c r="S23" s="1">
        <v>3.9733293060000001</v>
      </c>
      <c r="T23">
        <f>S23+S27</f>
        <v>4.5051446863000004</v>
      </c>
      <c r="U23">
        <f>S23-S27</f>
        <v>3.4415139257000003</v>
      </c>
      <c r="V23" s="1">
        <v>4.1681020860000002</v>
      </c>
      <c r="W23">
        <f>V23+V27</f>
        <v>5.5974595430000003</v>
      </c>
      <c r="X23">
        <f>V23-V27</f>
        <v>2.7387446290000002</v>
      </c>
      <c r="Y23" s="1">
        <v>4.4621226790000001</v>
      </c>
      <c r="Z23">
        <f>Y23+Y27</f>
        <v>6.6102690450000008</v>
      </c>
      <c r="AA23">
        <f>Y23-Y27</f>
        <v>2.313976313</v>
      </c>
      <c r="AB23" s="1">
        <v>5.3168513769999999</v>
      </c>
      <c r="AC23">
        <f>AB23+AB27</f>
        <v>6.8690337760000002</v>
      </c>
      <c r="AD23">
        <f>AB23-AB27</f>
        <v>3.7646689779999996</v>
      </c>
      <c r="AE23" s="1">
        <v>20</v>
      </c>
      <c r="AF23">
        <f>AE23+AE27</f>
        <v>40.329168519999996</v>
      </c>
      <c r="AG23">
        <f>AE23-AE27</f>
        <v>-0.32916851999999963</v>
      </c>
    </row>
    <row r="24" spans="1:33" x14ac:dyDescent="0.35">
      <c r="A24" s="1">
        <v>3.2330894539999999</v>
      </c>
      <c r="B24">
        <f>A24+A27</f>
        <v>4.2220893370999999</v>
      </c>
      <c r="C24">
        <f>A24-A27</f>
        <v>2.2440895708999999</v>
      </c>
      <c r="D24" s="1">
        <v>2.1520342079999999</v>
      </c>
      <c r="E24">
        <f>D24+D27</f>
        <v>3.218677316</v>
      </c>
      <c r="F24">
        <f>D24-D27</f>
        <v>1.0853910999999998</v>
      </c>
      <c r="G24" s="1">
        <v>1.1761884309999999</v>
      </c>
      <c r="H24">
        <f>G24+G27</f>
        <v>1.9252526778000001</v>
      </c>
      <c r="I24">
        <f>G24-G27</f>
        <v>0.42712418419999987</v>
      </c>
      <c r="J24" s="1">
        <v>2.131048769</v>
      </c>
      <c r="K24">
        <f>J24+J27</f>
        <v>2.7573295533</v>
      </c>
      <c r="L24">
        <f>J24-J27</f>
        <v>1.5047679846999999</v>
      </c>
      <c r="M24" s="1">
        <v>3.2137884940000001</v>
      </c>
      <c r="N24">
        <f>M24+M27</f>
        <v>5.2606220160000001</v>
      </c>
      <c r="O24">
        <f>M24-M27</f>
        <v>1.1669549720000001</v>
      </c>
      <c r="P24" s="1">
        <v>3.0372528139999999</v>
      </c>
      <c r="Q24">
        <f>P24+P27</f>
        <v>3.5563263785999997</v>
      </c>
      <c r="R24">
        <f>P24-P27</f>
        <v>2.5181792494000002</v>
      </c>
      <c r="S24" s="1">
        <v>1.9227878979999999</v>
      </c>
      <c r="T24">
        <f>S24+S27</f>
        <v>2.4546032783</v>
      </c>
      <c r="U24">
        <f>S24-S27</f>
        <v>1.3909725176999999</v>
      </c>
      <c r="V24" s="1">
        <v>0.4916254766</v>
      </c>
      <c r="W24">
        <f>V24+V27</f>
        <v>1.9209829335999999</v>
      </c>
      <c r="X24">
        <f>V24-V27</f>
        <v>-0.93773198040000005</v>
      </c>
      <c r="Y24" s="1">
        <v>1.75153479</v>
      </c>
      <c r="Z24">
        <f>Y24+Y27</f>
        <v>3.8996811560000002</v>
      </c>
      <c r="AA24">
        <f>Y24-Y27</f>
        <v>-0.39661157600000019</v>
      </c>
      <c r="AB24" s="1">
        <v>3.253309904</v>
      </c>
      <c r="AC24">
        <f>AB24+AB27</f>
        <v>4.8054923030000003</v>
      </c>
      <c r="AD24">
        <f>AB24-AB27</f>
        <v>1.7011275049999999</v>
      </c>
      <c r="AE24" s="1">
        <v>2.5430605260000001</v>
      </c>
      <c r="AF24">
        <f>AE24+AE27</f>
        <v>22.872229046000001</v>
      </c>
      <c r="AG24">
        <f>AE24-AE27</f>
        <v>-17.786107993999998</v>
      </c>
    </row>
    <row r="25" spans="1:33" x14ac:dyDescent="0.35">
      <c r="A25" s="1">
        <v>1.9330334659999999</v>
      </c>
      <c r="B25">
        <f>A25+A29</f>
        <v>2.1731721463999998</v>
      </c>
      <c r="C25">
        <f>A25-A29</f>
        <v>1.6928947855999998</v>
      </c>
      <c r="D25" s="1">
        <v>1.8122501369999999</v>
      </c>
      <c r="E25">
        <f>D25+D29</f>
        <v>2.2828024338999997</v>
      </c>
      <c r="F25">
        <f>D25-D29</f>
        <v>1.3416978400999999</v>
      </c>
      <c r="G25" s="1">
        <v>1.9653177260000001</v>
      </c>
      <c r="H25">
        <f>G25+G29</f>
        <v>2.4062807113</v>
      </c>
      <c r="I25">
        <f>G25-G29</f>
        <v>1.5243547407000002</v>
      </c>
      <c r="J25" s="1">
        <v>1.9091013670000001</v>
      </c>
      <c r="K25">
        <f>J25+J29</f>
        <v>2.1468827210999999</v>
      </c>
      <c r="L25">
        <f>J25-J29</f>
        <v>1.6713200129000001</v>
      </c>
      <c r="M25" s="1">
        <v>2.2842954400000002</v>
      </c>
      <c r="N25">
        <f>M25+M29</f>
        <v>3.0690158062000004</v>
      </c>
      <c r="O25">
        <f>M25-M29</f>
        <v>1.4995750738000002</v>
      </c>
      <c r="P25" s="1">
        <v>2.0256347360000002</v>
      </c>
      <c r="Q25">
        <f>P25+P29</f>
        <v>2.2938336020000003</v>
      </c>
      <c r="R25">
        <f>P25-P29</f>
        <v>1.7574358700000001</v>
      </c>
      <c r="S25" s="1">
        <v>1.642578471</v>
      </c>
      <c r="T25">
        <f>S25+S29</f>
        <v>1.8883882205</v>
      </c>
      <c r="U25">
        <f>S25-S29</f>
        <v>1.3967687215</v>
      </c>
      <c r="V25" s="1">
        <v>1.6899633409999999</v>
      </c>
      <c r="W25">
        <f>V25+V29</f>
        <v>2.4980237756000001</v>
      </c>
      <c r="X25">
        <f>V25-V29</f>
        <v>0.88190290639999991</v>
      </c>
      <c r="Y25" s="1">
        <v>1.883602142</v>
      </c>
      <c r="Z25">
        <f>Y25+Y29</f>
        <v>2.6690033674000002</v>
      </c>
      <c r="AA25">
        <f>Y25-Y29</f>
        <v>1.0982009166</v>
      </c>
      <c r="AB25" s="1">
        <v>1.7133026119999999</v>
      </c>
      <c r="AC25">
        <f>AB25+AB29</f>
        <v>2.5239111167999999</v>
      </c>
      <c r="AD25">
        <f>AB25-AB29</f>
        <v>0.90269410719999987</v>
      </c>
      <c r="AE25" s="1">
        <v>3.2131652829999999</v>
      </c>
      <c r="AF25">
        <f>AE25+AE29</f>
        <v>13.081415877</v>
      </c>
      <c r="AG25">
        <f>AE25-AE29</f>
        <v>-6.6550853109999988</v>
      </c>
    </row>
    <row r="26" spans="1:33" x14ac:dyDescent="0.35">
      <c r="A26" s="1">
        <v>8.8429758669999997E-2</v>
      </c>
      <c r="B26" t="str">
        <f>IF(AND(B22&lt;=B2,B22&gt;=C2),"CASE 2",IF(AND(C22&lt;=B2,C22&gt;=C2),"CASE 1",IF(AND(B22&gt;=B2,C22&lt;=C2),"CASE 3",IF(AND(B22&lt;=B2,C22&gt;=C2),"CASE 4",FALSE()))))</f>
        <v>CASE 3</v>
      </c>
      <c r="D26" s="1">
        <v>0.49307890269999999</v>
      </c>
      <c r="E26" t="str">
        <f>IF(AND(E22&lt;=E2,E22&gt;=F2),"CASE 2",IF(AND(F22&lt;=E2,F22&gt;=F2),"CASE 1",IF(AND(E22&gt;=E2,F22&lt;=F2),"CASE 3",IF(AND(E22&lt;=E2,F22&gt;=F2),"CASE 4",FALSE()))))</f>
        <v>CASE 3</v>
      </c>
      <c r="G26" s="1">
        <v>9.5544485129999995E-2</v>
      </c>
      <c r="H26" t="str">
        <f>IF(AND(H22&lt;=H2,H22&gt;=I2),"CASE 2",IF(AND(I22&lt;=H2,I22&gt;=I2),"CASE 1",IF(AND(H22&gt;=H2,I22&lt;=I2),"CASE 3",IF(AND(H22&lt;=H2,I22&gt;=I2),"CASE 4",FALSE()))))</f>
        <v>CASE 3</v>
      </c>
      <c r="J26" s="1">
        <v>0.14852428749999999</v>
      </c>
      <c r="K26" t="str">
        <f>IF(AND(K22&lt;=K2,K22&gt;=L2),"CASE 2",IF(AND(L22&lt;=K2,L22&gt;=L2),"CASE 1",IF(AND(K22&gt;=K2,L22&lt;=L2),"CASE 3",IF(AND(K22&lt;=K2,L22&gt;=L2),"CASE 4",FALSE()))))</f>
        <v>CASE 3</v>
      </c>
      <c r="M26" s="1">
        <v>0.48393073819999999</v>
      </c>
      <c r="N26" t="str">
        <f>IF(AND(N22&lt;=N2,N22&gt;=O2),"CASE 2",IF(AND(O22&lt;=N2,O22&gt;=O2),"CASE 1",IF(AND(N22&gt;=N2,O22&lt;=O2),"CASE 3",IF(AND(N22&lt;=N2,O22&gt;=O2),"CASE 4",FALSE()))))</f>
        <v>CASE 3</v>
      </c>
      <c r="P26" s="1">
        <v>0.16846709609999999</v>
      </c>
      <c r="Q26" t="str">
        <f>IF(AND(Q22&lt;=Q2,Q22&gt;=R2),"CASE 2",IF(AND(R22&lt;=Q2,R22&gt;=R2),"CASE 1",IF(AND(Q22&gt;=Q2,R22&lt;=R2),"CASE 3",IF(AND(Q22&lt;=Q2,R22&gt;=R2),"CASE 4",FALSE()))))</f>
        <v>CASE 3</v>
      </c>
      <c r="S26" s="1">
        <v>9.5582999000000002E-2</v>
      </c>
      <c r="T26" t="str">
        <f>IF(AND(T22&lt;=T2,T22&gt;=U2),"CASE 2",IF(AND(U22&lt;=T2,U22&gt;=U2),"CASE 1",IF(AND(T22&gt;=T2,U22&lt;=U2),"CASE 3",IF(AND(T22&lt;=T2,U22&gt;=U2),"CASE 4",FALSE()))))</f>
        <v>CASE 3</v>
      </c>
      <c r="V26" s="1">
        <v>0.24670049350000001</v>
      </c>
      <c r="W26" t="b">
        <f>IF(AND(W22&lt;=W2,W22&gt;=X2),"CASE 2",IF(AND(X22&lt;=W2,X22&gt;=X2),"CASE 1",IF(AND(W22&gt;=W2,X22&lt;=X2),"CASE 3",IF(AND(W22&lt;=W2,X22&gt;=X2),"CASE 4",FALSE()))))</f>
        <v>0</v>
      </c>
      <c r="Y26" s="1">
        <v>0.25932267320000002</v>
      </c>
      <c r="Z26" t="str">
        <f>IF(AND(Z22&lt;=Z2,Z22&gt;=AA2),"CASE 2",IF(AND(AA22&lt;=Z2,AA22&gt;=AA2),"CASE 1",IF(AND(Z22&gt;=Z2,AA22&lt;=AA2),"CASE 3",IF(AND(Z22&lt;=Z2,AA22&gt;=AA2),"CASE 4",FALSE()))))</f>
        <v>CASE 3</v>
      </c>
      <c r="AB26" s="1">
        <v>0.39177649530000003</v>
      </c>
      <c r="AC26" t="str">
        <f>IF(AND(AC22&lt;=AC2,AC22&gt;=AD2),"CASE 2",IF(AND(AD22&lt;=AC2,AD22&gt;=AD2),"CASE 1",IF(AND(AC22&gt;=AC2,AD22&lt;=AD2),"CASE 3",IF(AND(AC22&lt;=AC2,AD22&gt;=AD2),"CASE 4",FALSE()))))</f>
        <v>CASE 3</v>
      </c>
      <c r="AE26" s="1">
        <v>0.7977302033</v>
      </c>
      <c r="AF26" t="str">
        <f>IF(AND(AF22&lt;=AF2,AF22&gt;=AG2),"CASE 2",IF(AND(AG22&lt;=AF2,AG22&gt;=AG2),"CASE 1",IF(AND(AF22&gt;=AF2,AG22&lt;=AG2),"CASE 3",IF(AND(AF22&lt;=AF2,AG22&gt;=AG2),"CASE 4",FALSE()))))</f>
        <v>CASE 1</v>
      </c>
    </row>
    <row r="27" spans="1:33" x14ac:dyDescent="0.35">
      <c r="A27" s="1">
        <v>0.98899988309999998</v>
      </c>
      <c r="B27" t="str">
        <f>IF(AND(B23&lt;=B3,B23&gt;=C3),"CASE 2",IF(AND(C23&lt;=B3,C23&gt;=C3),"CASE 1",IF(AND(B23&gt;=B3,C23&lt;=C3),"CASE 3",IF(AND(B23&lt;=B3,C23&gt;=C3),"CASE 4",FALSE()))))</f>
        <v>CASE 3</v>
      </c>
      <c r="D27" s="1">
        <v>1.0666431080000001</v>
      </c>
      <c r="E27" t="str">
        <f t="shared" ref="E27:E29" si="44">IF(AND(E23&lt;=E3,E23&gt;=F3),"CASE 2",IF(AND(F23&lt;=E3,F23&gt;=F3),"CASE 1",IF(AND(E23&gt;=E3,F23&lt;=F3),"CASE 3",IF(AND(E23&lt;=E3,F23&gt;=F3),"CASE 4",FALSE()))))</f>
        <v>CASE 3</v>
      </c>
      <c r="G27" s="1">
        <v>0.74906424680000006</v>
      </c>
      <c r="H27" t="str">
        <f t="shared" ref="H27:H29" si="45">IF(AND(H23&lt;=H3,H23&gt;=I3),"CASE 2",IF(AND(I23&lt;=H3,I23&gt;=I3),"CASE 1",IF(AND(H23&gt;=H3,I23&lt;=I3),"CASE 3",IF(AND(H23&lt;=H3,I23&gt;=I3),"CASE 4",FALSE()))))</f>
        <v>CASE 3</v>
      </c>
      <c r="J27" s="1">
        <v>0.6262807843</v>
      </c>
      <c r="K27" t="str">
        <f t="shared" ref="K27:K29" si="46">IF(AND(K23&lt;=K3,K23&gt;=L3),"CASE 2",IF(AND(L23&lt;=K3,L23&gt;=L3),"CASE 1",IF(AND(K23&gt;=K3,L23&lt;=L3),"CASE 3",IF(AND(K23&lt;=K3,L23&gt;=L3),"CASE 4",FALSE()))))</f>
        <v>CASE 3</v>
      </c>
      <c r="M27" s="1">
        <v>2.046833522</v>
      </c>
      <c r="N27" t="str">
        <f t="shared" ref="N27:N29" si="47">IF(AND(N23&lt;=N3,N23&gt;=O3),"CASE 2",IF(AND(O23&lt;=N3,O23&gt;=O3),"CASE 1",IF(AND(N23&gt;=N3,O23&lt;=O3),"CASE 3",IF(AND(N23&lt;=N3,O23&gt;=O3),"CASE 4",FALSE()))))</f>
        <v>CASE 3</v>
      </c>
      <c r="P27" s="1">
        <v>0.51907356459999998</v>
      </c>
      <c r="Q27" t="str">
        <f t="shared" ref="Q27:Q29" si="48">IF(AND(Q23&lt;=Q3,Q23&gt;=R3),"CASE 2",IF(AND(R23&lt;=Q3,R23&gt;=R3),"CASE 1",IF(AND(Q23&gt;=Q3,R23&lt;=R3),"CASE 3",IF(AND(Q23&lt;=Q3,R23&gt;=R3),"CASE 4",FALSE()))))</f>
        <v>CASE 3</v>
      </c>
      <c r="S27" s="1">
        <v>0.53181538029999997</v>
      </c>
      <c r="T27" t="str">
        <f t="shared" ref="T27:T29" si="49">IF(AND(T23&lt;=T3,T23&gt;=U3),"CASE 2",IF(AND(U23&lt;=T3,U23&gt;=U3),"CASE 1",IF(AND(T23&gt;=T3,U23&lt;=U3),"CASE 3",IF(AND(T23&lt;=T3,U23&gt;=U3),"CASE 4",FALSE()))))</f>
        <v>CASE 3</v>
      </c>
      <c r="V27" s="1">
        <v>1.4293574570000001</v>
      </c>
      <c r="W27" t="str">
        <f t="shared" ref="W27:W29" si="50">IF(AND(W23&lt;=W3,W23&gt;=X3),"CASE 2",IF(AND(X23&lt;=W3,X23&gt;=X3),"CASE 1",IF(AND(W23&gt;=W3,X23&lt;=X3),"CASE 3",IF(AND(W23&lt;=W3,X23&gt;=X3),"CASE 4",FALSE()))))</f>
        <v>CASE 3</v>
      </c>
      <c r="Y27" s="1">
        <v>2.1481463660000002</v>
      </c>
      <c r="Z27" t="str">
        <f t="shared" ref="Z27:Z29" si="51">IF(AND(Z23&lt;=Z3,Z23&gt;=AA3),"CASE 2",IF(AND(AA23&lt;=Z3,AA23&gt;=AA3),"CASE 1",IF(AND(Z23&gt;=Z3,AA23&lt;=AA3),"CASE 3",IF(AND(Z23&lt;=Z3,AA23&gt;=AA3),"CASE 4",FALSE()))))</f>
        <v>CASE 3</v>
      </c>
      <c r="AB27" s="1">
        <v>1.5521823990000001</v>
      </c>
      <c r="AC27" t="str">
        <f t="shared" ref="AC27:AC29" si="52">IF(AND(AC23&lt;=AC3,AC23&gt;=AD3),"CASE 2",IF(AND(AD23&lt;=AC3,AD23&gt;=AD3),"CASE 1",IF(AND(AC23&gt;=AC3,AD23&lt;=AD3),"CASE 3",IF(AND(AC23&lt;=AC3,AD23&gt;=AD3),"CASE 4",FALSE()))))</f>
        <v>CASE 3</v>
      </c>
      <c r="AE27" s="1">
        <v>20.32916852</v>
      </c>
      <c r="AF27" t="str">
        <f t="shared" ref="AF27:AF29" si="53">IF(AND(AF23&lt;=AF3,AF23&gt;=AG3),"CASE 2",IF(AND(AG23&lt;=AF3,AG23&gt;=AG3),"CASE 1",IF(AND(AF23&gt;=AF3,AG23&lt;=AG3),"CASE 3",IF(AND(AF23&lt;=AF3,AG23&gt;=AG3),"CASE 4",FALSE()))))</f>
        <v>CASE 3</v>
      </c>
    </row>
    <row r="28" spans="1:33" x14ac:dyDescent="0.35">
      <c r="A28" s="1">
        <v>0.37683327560000002</v>
      </c>
      <c r="B28" t="str">
        <f t="shared" ref="B28:B29" si="54">IF(AND(B24&lt;=B4,B24&gt;=C4),"CASE 2",IF(AND(C24&lt;=B4,C24&gt;=C4),"CASE 1",IF(AND(B24&gt;=B4,C24&lt;=C4),"CASE 3",IF(AND(B24&lt;=B4,C24&gt;=C4),"CASE 4",FALSE()))))</f>
        <v>CASE 3</v>
      </c>
      <c r="D28" s="1">
        <v>1.403448705</v>
      </c>
      <c r="E28" t="str">
        <f t="shared" si="44"/>
        <v>CASE 3</v>
      </c>
      <c r="G28" s="1">
        <v>0.21827972940000001</v>
      </c>
      <c r="H28" t="str">
        <f t="shared" si="45"/>
        <v>CASE 3</v>
      </c>
      <c r="J28" s="1">
        <v>0.52044331219999995</v>
      </c>
      <c r="K28" t="str">
        <f t="shared" si="46"/>
        <v>CASE 3</v>
      </c>
      <c r="M28" s="1">
        <v>2.7699533719999998</v>
      </c>
      <c r="N28" t="str">
        <f t="shared" si="47"/>
        <v>CASE 3</v>
      </c>
      <c r="P28" s="1">
        <v>0.75002270469999999</v>
      </c>
      <c r="Q28" t="str">
        <f t="shared" si="48"/>
        <v>CASE 1</v>
      </c>
      <c r="S28" s="1">
        <v>0.33023368209999998</v>
      </c>
      <c r="T28" t="str">
        <f t="shared" si="49"/>
        <v>CASE 3</v>
      </c>
      <c r="V28" s="1">
        <v>0.1954653231</v>
      </c>
      <c r="W28" t="str">
        <f t="shared" si="50"/>
        <v>CASE 2</v>
      </c>
      <c r="Y28" s="1">
        <v>0.95084593699999997</v>
      </c>
      <c r="Z28" t="str">
        <f t="shared" si="51"/>
        <v>CASE 3</v>
      </c>
      <c r="AB28" s="1">
        <v>2.4559535779999999</v>
      </c>
      <c r="AC28" t="str">
        <f t="shared" si="52"/>
        <v>CASE 3</v>
      </c>
      <c r="AE28" s="1">
        <v>1.868526007</v>
      </c>
      <c r="AF28" t="str">
        <f t="shared" si="53"/>
        <v>CASE 3</v>
      </c>
    </row>
    <row r="29" spans="1:33" x14ac:dyDescent="0.35">
      <c r="A29" s="1">
        <v>0.2401386804</v>
      </c>
      <c r="B29" t="str">
        <f t="shared" si="54"/>
        <v>CASE 3</v>
      </c>
      <c r="D29" s="1">
        <v>0.4705522969</v>
      </c>
      <c r="E29" t="str">
        <f t="shared" si="44"/>
        <v>CASE 3</v>
      </c>
      <c r="G29" s="1">
        <v>0.4409629853</v>
      </c>
      <c r="H29" t="str">
        <f t="shared" si="45"/>
        <v>CASE 3</v>
      </c>
      <c r="J29" s="1">
        <v>0.23778135410000001</v>
      </c>
      <c r="K29" t="str">
        <f t="shared" si="46"/>
        <v>CASE 3</v>
      </c>
      <c r="M29" s="1">
        <v>0.78472036619999996</v>
      </c>
      <c r="N29" t="str">
        <f t="shared" si="47"/>
        <v>CASE 3</v>
      </c>
      <c r="P29" s="1">
        <v>0.26819886599999998</v>
      </c>
      <c r="Q29" t="str">
        <f t="shared" si="48"/>
        <v>CASE 3</v>
      </c>
      <c r="S29" s="1">
        <v>0.24580974950000001</v>
      </c>
      <c r="T29" t="str">
        <f t="shared" si="49"/>
        <v>CASE 3</v>
      </c>
      <c r="V29" s="1">
        <v>0.80806043459999999</v>
      </c>
      <c r="W29" t="str">
        <f t="shared" si="50"/>
        <v>CASE 3</v>
      </c>
      <c r="Y29" s="1">
        <v>0.78540122540000001</v>
      </c>
      <c r="Z29" t="str">
        <f t="shared" si="51"/>
        <v>CASE 3</v>
      </c>
      <c r="AB29" s="1">
        <v>0.81060850480000002</v>
      </c>
      <c r="AC29" t="str">
        <f t="shared" si="52"/>
        <v>CASE 3</v>
      </c>
      <c r="AE29" s="1">
        <v>9.8682505939999992</v>
      </c>
      <c r="AF29" t="str">
        <f t="shared" si="53"/>
        <v>CASE 3</v>
      </c>
    </row>
    <row r="31" spans="1:33" x14ac:dyDescent="0.35">
      <c r="A31" s="1" t="s">
        <v>3</v>
      </c>
    </row>
    <row r="32" spans="1:33" x14ac:dyDescent="0.35">
      <c r="A32" s="1">
        <v>16.41717032</v>
      </c>
      <c r="B32">
        <f>A32+A36</f>
        <v>16.461736398719999</v>
      </c>
      <c r="C32">
        <f>A32-A36</f>
        <v>16.372604241280001</v>
      </c>
      <c r="D32" s="1">
        <v>15.46245122</v>
      </c>
      <c r="E32">
        <f>D32+D36</f>
        <v>15.659623552699999</v>
      </c>
      <c r="F32">
        <f>D32-D36</f>
        <v>15.265278887300001</v>
      </c>
      <c r="G32" s="1">
        <v>15.905318919999999</v>
      </c>
      <c r="H32">
        <f>G32+G36</f>
        <v>15.943128295799999</v>
      </c>
      <c r="I32">
        <f>G32-G36</f>
        <v>15.867509544199999</v>
      </c>
      <c r="J32" s="1">
        <v>15.90444744</v>
      </c>
      <c r="K32">
        <f>J32+J36</f>
        <v>15.96148165626</v>
      </c>
      <c r="L32">
        <f>J32-J36</f>
        <v>15.84741322374</v>
      </c>
      <c r="M32" s="1">
        <v>15.80877435</v>
      </c>
      <c r="N32">
        <f>M32+M36</f>
        <v>15.998110476000001</v>
      </c>
      <c r="O32">
        <f>M32-M36</f>
        <v>15.619438224</v>
      </c>
      <c r="P32" s="1">
        <v>15.74146986</v>
      </c>
      <c r="Q32">
        <f>P32+P36</f>
        <v>15.8049601192</v>
      </c>
      <c r="R32">
        <f>P32-P36</f>
        <v>15.677979600800001</v>
      </c>
      <c r="S32" s="1">
        <v>16.075501679999999</v>
      </c>
      <c r="T32">
        <f>S32+S36</f>
        <v>16.11212890557</v>
      </c>
      <c r="U32">
        <f>S32-S36</f>
        <v>16.038874454429997</v>
      </c>
      <c r="V32" s="1">
        <v>15.5095396</v>
      </c>
      <c r="W32">
        <f>V32+V36</f>
        <v>15.601086014250001</v>
      </c>
      <c r="X32">
        <f>V32-V36</f>
        <v>15.417993185749999</v>
      </c>
      <c r="Y32" s="1">
        <v>14.81216049</v>
      </c>
      <c r="Z32">
        <f>Y32+Y36</f>
        <v>14.913775342200001</v>
      </c>
      <c r="AA32">
        <f>Y32-Y36</f>
        <v>14.710545637799999</v>
      </c>
      <c r="AB32" s="1">
        <v>15.011789439999999</v>
      </c>
      <c r="AC32">
        <f>AB32+AB36</f>
        <v>15.165836373199999</v>
      </c>
      <c r="AD32">
        <f>AB32-AB36</f>
        <v>14.857742506799999</v>
      </c>
      <c r="AE32" s="1">
        <v>16.2063427</v>
      </c>
      <c r="AF32">
        <f>AE32+AE36</f>
        <v>16.4919939553</v>
      </c>
      <c r="AG32">
        <f>AE32-AE36</f>
        <v>15.920691444700001</v>
      </c>
    </row>
    <row r="33" spans="1:33" x14ac:dyDescent="0.35">
      <c r="A33" s="1">
        <v>4.8144280909999999</v>
      </c>
      <c r="B33">
        <f>A33+A37</f>
        <v>5.3599300433000003</v>
      </c>
      <c r="C33">
        <f>A33-A37</f>
        <v>4.2689261386999995</v>
      </c>
      <c r="D33" s="1">
        <v>3.6425042150000002</v>
      </c>
      <c r="E33">
        <f>D33+D37</f>
        <v>4.0708269964000001</v>
      </c>
      <c r="F33">
        <f>D33-D37</f>
        <v>3.2141814336000003</v>
      </c>
      <c r="G33" s="1">
        <v>4.290694952</v>
      </c>
      <c r="H33">
        <f>G33+G37</f>
        <v>4.5892332594000003</v>
      </c>
      <c r="I33">
        <f>G33-G37</f>
        <v>3.9921566446000001</v>
      </c>
      <c r="J33" s="1">
        <v>4.2275066380000004</v>
      </c>
      <c r="K33">
        <f>J33+J37</f>
        <v>4.4554525296000005</v>
      </c>
      <c r="L33">
        <f>J33-J37</f>
        <v>3.9995607464000003</v>
      </c>
      <c r="M33" s="1">
        <v>4.3390756850000001</v>
      </c>
      <c r="N33">
        <f>M33+M37</f>
        <v>5.1483980548000003</v>
      </c>
      <c r="O33">
        <f>M33-M37</f>
        <v>3.5297533151999998</v>
      </c>
      <c r="P33" s="1">
        <v>4.7457062600000004</v>
      </c>
      <c r="Q33">
        <f>P33+P37</f>
        <v>4.9592369853000005</v>
      </c>
      <c r="R33">
        <f>P33-P37</f>
        <v>4.5321755347000003</v>
      </c>
      <c r="S33" s="1">
        <v>3.8886545899999998</v>
      </c>
      <c r="T33">
        <f>S33+S37</f>
        <v>4.0877933229999996</v>
      </c>
      <c r="U33">
        <f>S33-S37</f>
        <v>3.689515857</v>
      </c>
      <c r="V33" s="1">
        <v>4.6063237189999997</v>
      </c>
      <c r="W33">
        <f>V33+V37</f>
        <v>5.3523082873999996</v>
      </c>
      <c r="X33">
        <f>V33-V37</f>
        <v>3.8603391505999998</v>
      </c>
      <c r="Y33" s="1">
        <v>4.6203659769999996</v>
      </c>
      <c r="Z33">
        <f>Y33+Y37</f>
        <v>5.5272062890999996</v>
      </c>
      <c r="AA33">
        <f>Y33-Y37</f>
        <v>3.7135256648999997</v>
      </c>
      <c r="AB33" s="1">
        <v>5.30443716</v>
      </c>
      <c r="AC33">
        <f>AB33+AB37</f>
        <v>5.9136238383999995</v>
      </c>
      <c r="AD33">
        <f>AB33-AB37</f>
        <v>4.6952504816000005</v>
      </c>
      <c r="AE33" s="1">
        <v>20</v>
      </c>
      <c r="AF33">
        <f>AE33+AE37</f>
        <v>22.634076534000002</v>
      </c>
      <c r="AG33">
        <f>AE33-AE37</f>
        <v>17.365923465999998</v>
      </c>
    </row>
    <row r="34" spans="1:33" x14ac:dyDescent="0.35">
      <c r="A34" s="1">
        <v>3.4257503599999999</v>
      </c>
      <c r="B34">
        <f>A34+A37</f>
        <v>3.9712523122999999</v>
      </c>
      <c r="C34">
        <f>A34-A37</f>
        <v>2.8802484076999999</v>
      </c>
      <c r="D34" s="1">
        <v>2.1853433290000002</v>
      </c>
      <c r="E34">
        <f>D34+D37</f>
        <v>2.6136661104000001</v>
      </c>
      <c r="F34">
        <f>D34-D37</f>
        <v>1.7570205476000003</v>
      </c>
      <c r="G34" s="1">
        <v>1.1756863259999999</v>
      </c>
      <c r="H34">
        <f>G34+G37</f>
        <v>1.4742246334</v>
      </c>
      <c r="I34">
        <f>G34-G37</f>
        <v>0.87714801859999991</v>
      </c>
      <c r="J34" s="1">
        <v>2.2452932219999999</v>
      </c>
      <c r="K34">
        <f>J34+J37</f>
        <v>2.4732391136</v>
      </c>
      <c r="L34">
        <f>J34-J37</f>
        <v>2.0173473303999998</v>
      </c>
      <c r="M34" s="1">
        <v>3.2031292539999998</v>
      </c>
      <c r="N34">
        <f>M34+M37</f>
        <v>4.0124516237999996</v>
      </c>
      <c r="O34">
        <f>M34-M37</f>
        <v>2.3938068842</v>
      </c>
      <c r="P34" s="1">
        <v>2.9592157750000001</v>
      </c>
      <c r="Q34">
        <f>P34+P37</f>
        <v>3.1727465003000002</v>
      </c>
      <c r="R34">
        <f>P34-P37</f>
        <v>2.7456850497</v>
      </c>
      <c r="S34" s="1">
        <v>1.8670097480000001</v>
      </c>
      <c r="T34">
        <f>S34+S37</f>
        <v>2.0661484809999999</v>
      </c>
      <c r="U34">
        <f>S34-S37</f>
        <v>1.667871015</v>
      </c>
      <c r="V34" s="1">
        <v>1.7238038330000001</v>
      </c>
      <c r="W34">
        <f>V34+V37</f>
        <v>2.4697884014000002</v>
      </c>
      <c r="X34">
        <f>V34-V37</f>
        <v>0.97781926460000002</v>
      </c>
      <c r="Y34" s="1">
        <v>1.8352267440000001</v>
      </c>
      <c r="Z34">
        <f>Y34+Y37</f>
        <v>2.7420670561000002</v>
      </c>
      <c r="AA34">
        <f>Y34-Y37</f>
        <v>0.92838643190000003</v>
      </c>
      <c r="AB34" s="1">
        <v>3.2421939370000001</v>
      </c>
      <c r="AC34">
        <f>AB34+AB37</f>
        <v>3.8513806154000001</v>
      </c>
      <c r="AD34">
        <f>AB34-AB37</f>
        <v>2.6330072586000002</v>
      </c>
      <c r="AE34" s="1">
        <v>2.9894031289999998</v>
      </c>
      <c r="AF34">
        <f>AE34+AE37</f>
        <v>5.6234796629999995</v>
      </c>
      <c r="AG34">
        <f>AE34-AE37</f>
        <v>0.35532659499999975</v>
      </c>
    </row>
    <row r="35" spans="1:33" x14ac:dyDescent="0.35">
      <c r="A35" s="1">
        <v>2.2089128489999998</v>
      </c>
      <c r="B35">
        <f>A35+A39</f>
        <v>2.3091794837999999</v>
      </c>
      <c r="C35">
        <f>A35-A39</f>
        <v>2.1086462141999998</v>
      </c>
      <c r="D35" s="1">
        <v>1.821296692</v>
      </c>
      <c r="E35">
        <f>D35+D39</f>
        <v>2.0064221419999999</v>
      </c>
      <c r="F35">
        <f>D35-D39</f>
        <v>1.6361712420000001</v>
      </c>
      <c r="G35" s="1">
        <v>1.965701342</v>
      </c>
      <c r="H35">
        <f>G35+G39</f>
        <v>2.1386318599999998</v>
      </c>
      <c r="I35">
        <f>G35-G39</f>
        <v>1.792770824</v>
      </c>
      <c r="J35" s="1">
        <v>1.91455555</v>
      </c>
      <c r="K35">
        <f>J35+J39</f>
        <v>2.00654817155</v>
      </c>
      <c r="L35">
        <f>J35-J39</f>
        <v>1.82256292845</v>
      </c>
      <c r="M35" s="1">
        <v>2.2834627630000002</v>
      </c>
      <c r="N35">
        <f>M35+M39</f>
        <v>2.5903006711000001</v>
      </c>
      <c r="O35">
        <f>M35-M39</f>
        <v>1.9766248549000003</v>
      </c>
      <c r="P35" s="1">
        <v>2.0388083460000002</v>
      </c>
      <c r="Q35">
        <f>P35+P39</f>
        <v>2.1462743206000003</v>
      </c>
      <c r="R35">
        <f>P35-P39</f>
        <v>1.9313423714000002</v>
      </c>
      <c r="S35" s="1">
        <v>1.616030697</v>
      </c>
      <c r="T35">
        <f>S35+S39</f>
        <v>1.7089547297600001</v>
      </c>
      <c r="U35">
        <f>S35-S39</f>
        <v>1.52310666424</v>
      </c>
      <c r="V35" s="1">
        <v>1.98903656</v>
      </c>
      <c r="W35">
        <f>V35+V39</f>
        <v>2.3142207539999999</v>
      </c>
      <c r="X35">
        <f>V35-V39</f>
        <v>1.663852366</v>
      </c>
      <c r="Y35" s="1">
        <v>1.9052999020000001</v>
      </c>
      <c r="Z35">
        <f>Y35+Y39</f>
        <v>2.2195850836000002</v>
      </c>
      <c r="AA35">
        <f>Y35-Y39</f>
        <v>1.5910147204</v>
      </c>
      <c r="AB35" s="1">
        <v>1.7167706490000001</v>
      </c>
      <c r="AC35">
        <f>AB35+AB39</f>
        <v>2.0339469948</v>
      </c>
      <c r="AD35">
        <f>AB35-AB39</f>
        <v>1.3995943032000002</v>
      </c>
      <c r="AE35" s="1">
        <v>2.9097776409999998</v>
      </c>
      <c r="AF35">
        <f>AE35+AE39</f>
        <v>4.4167956070000001</v>
      </c>
      <c r="AG35">
        <f>AE35-AE39</f>
        <v>1.4027596749999998</v>
      </c>
    </row>
    <row r="36" spans="1:33" x14ac:dyDescent="0.35">
      <c r="A36" s="1">
        <v>4.4566078719999999E-2</v>
      </c>
      <c r="B36" t="str">
        <f>IF(AND(B32&lt;=B2,B32&gt;=C2),"CASE 2",IF(AND(C32&lt;=B2,C32&gt;=C2),"CASE 1",IF(AND(B32&gt;=B2,C32&lt;=C2),"CASE 3",IF(AND(B32&lt;=B2,C32&gt;=C2),"CASE 4",FALSE()))))</f>
        <v>CASE 3</v>
      </c>
      <c r="D36" s="1">
        <v>0.19717233270000001</v>
      </c>
      <c r="E36" t="str">
        <f>IF(AND(E32&lt;=E2,E32&gt;=F2),"CASE 2",IF(AND(F32&lt;=E2,F32&gt;=F2),"CASE 1",IF(AND(E32&gt;=E2,F32&lt;=F2),"CASE 3",IF(AND(E32&lt;=E2,F32&gt;=F2),"CASE 4",FALSE()))))</f>
        <v>CASE 2</v>
      </c>
      <c r="G36" s="1">
        <v>3.7809375800000003E-2</v>
      </c>
      <c r="H36" t="str">
        <f>IF(AND(H32&lt;=H2,H32&gt;=I2),"CASE 2",IF(AND(I32&lt;=H2,I32&gt;=I2),"CASE 1",IF(AND(H32&gt;=H2,I32&lt;=I2),"CASE 3",IF(AND(H32&lt;=H2,I32&gt;=I2),"CASE 4",FALSE()))))</f>
        <v>CASE 3</v>
      </c>
      <c r="J36" s="1">
        <v>5.7034216259999999E-2</v>
      </c>
      <c r="K36" t="str">
        <f>IF(AND(K32&lt;=K2,K32&gt;=L2),"CASE 2",IF(AND(L32&lt;=K2,L32&gt;=L2),"CASE 1",IF(AND(K32&gt;=K2,L32&lt;=L2),"CASE 3",IF(AND(K32&lt;=K2,L32&gt;=L2),"CASE 4",FALSE()))))</f>
        <v>CASE 2</v>
      </c>
      <c r="M36" s="1">
        <v>0.18933612599999999</v>
      </c>
      <c r="N36" t="str">
        <f>IF(AND(N32&lt;=N2,N32&gt;=O2),"CASE 2",IF(AND(O32&lt;=N2,O32&gt;=O2),"CASE 1",IF(AND(N32&gt;=N2,O32&lt;=O2),"CASE 3",IF(AND(N32&lt;=N2,O32&gt;=O2),"CASE 4",FALSE()))))</f>
        <v>CASE 3</v>
      </c>
      <c r="P36" s="1">
        <v>6.3490259199999996E-2</v>
      </c>
      <c r="Q36" t="str">
        <f>IF(AND(Q32&lt;=Q2,Q32&gt;=R2),"CASE 2",IF(AND(R32&lt;=Q2,R32&gt;=R2),"CASE 1",IF(AND(Q32&gt;=Q2,R32&lt;=R2),"CASE 3",IF(AND(Q32&lt;=Q2,R32&gt;=R2),"CASE 4",FALSE()))))</f>
        <v>CASE 1</v>
      </c>
      <c r="S36" s="1">
        <v>3.6627225569999998E-2</v>
      </c>
      <c r="T36" t="str">
        <f>IF(AND(T32&lt;=T2,T32&gt;=U2),"CASE 2",IF(AND(U32&lt;=T2,U32&gt;=U2),"CASE 1",IF(AND(T32&gt;=T2,U32&lt;=U2),"CASE 3",IF(AND(T32&lt;=T2,U32&gt;=U2),"CASE 4",FALSE()))))</f>
        <v>CASE 2</v>
      </c>
      <c r="V36" s="1">
        <v>9.1546414249999999E-2</v>
      </c>
      <c r="W36" t="str">
        <f>IF(AND(W32&lt;=W2,W32&gt;=X2),"CASE 2",IF(AND(X32&lt;=W2,X32&gt;=X2),"CASE 1",IF(AND(W32&gt;=W2,X32&lt;=X2),"CASE 3",IF(AND(W32&lt;=W2,X32&gt;=X2),"CASE 4",FALSE()))))</f>
        <v>CASE 3</v>
      </c>
      <c r="Y36" s="1">
        <v>0.10161485219999999</v>
      </c>
      <c r="Z36" t="str">
        <f>IF(AND(Z32&lt;=Z2,Z32&gt;=AA2),"CASE 2",IF(AND(AA32&lt;=Z2,AA32&gt;=AA2),"CASE 1",IF(AND(Z32&gt;=Z2,AA32&lt;=AA2),"CASE 3",IF(AND(Z32&lt;=Z2,AA32&gt;=AA2),"CASE 4",FALSE()))))</f>
        <v>CASE 2</v>
      </c>
      <c r="AB36" s="1">
        <v>0.15404693320000001</v>
      </c>
      <c r="AC36" t="str">
        <f>IF(AND(AC32&lt;=AC2,AC32&gt;=AD2),"CASE 2",IF(AND(AD32&lt;=AC2,AD32&gt;=AD2),"CASE 1",IF(AND(AC32&gt;=AC2,AD32&lt;=AD2),"CASE 3",IF(AND(AC32&lt;=AC2,AD32&gt;=AD2),"CASE 4",FALSE()))))</f>
        <v>CASE 1</v>
      </c>
      <c r="AE36" s="1">
        <v>0.28565125530000002</v>
      </c>
      <c r="AF36" t="b">
        <f>IF(AND(AF32&lt;=AF2,AF32&gt;=AG2),"CASE 2",IF(AND(AG32&lt;=AF2,AG32&gt;=AG2),"CASE 1",IF(AND(AF32&gt;=AF2,AG32&lt;=AG2),"CASE 3",IF(AND(AF32&lt;=AF2,AG32&gt;=AG2),"CASE 4",FALSE()))))</f>
        <v>0</v>
      </c>
    </row>
    <row r="37" spans="1:33" x14ac:dyDescent="0.35">
      <c r="A37" s="1">
        <v>0.54550195229999998</v>
      </c>
      <c r="B37" t="b">
        <f t="shared" ref="B37:B39" si="55">IF(AND(B33&lt;=B3,B33&gt;=C3),"CASE 2",IF(AND(C33&lt;=B3,C33&gt;=C3),"CASE 1",IF(AND(B33&gt;=B3,C33&lt;=C3),"CASE 3",IF(AND(B33&lt;=B3,C33&gt;=C3),"CASE 4",FALSE()))))</f>
        <v>0</v>
      </c>
      <c r="D37" s="1">
        <v>0.42832278140000002</v>
      </c>
      <c r="E37" t="str">
        <f t="shared" ref="E37:E39" si="56">IF(AND(E33&lt;=E3,E33&gt;=F3),"CASE 2",IF(AND(F33&lt;=E3,F33&gt;=F3),"CASE 1",IF(AND(E33&gt;=E3,F33&lt;=F3),"CASE 3",IF(AND(E33&lt;=E3,F33&gt;=F3),"CASE 4",FALSE()))))</f>
        <v>CASE 1</v>
      </c>
      <c r="G37" s="1">
        <v>0.29853830739999998</v>
      </c>
      <c r="H37" t="str">
        <f t="shared" ref="H37:H39" si="57">IF(AND(H33&lt;=H3,H33&gt;=I3),"CASE 2",IF(AND(I33&lt;=H3,I33&gt;=I3),"CASE 1",IF(AND(H33&gt;=H3,I33&lt;=I3),"CASE 3",IF(AND(H33&lt;=H3,I33&gt;=I3),"CASE 4",FALSE()))))</f>
        <v>CASE 3</v>
      </c>
      <c r="J37" s="1">
        <v>0.22794589160000001</v>
      </c>
      <c r="K37" t="str">
        <f t="shared" ref="K37:K39" si="58">IF(AND(K33&lt;=K3,K33&gt;=L3),"CASE 2",IF(AND(L33&lt;=K3,L33&gt;=L3),"CASE 1",IF(AND(K33&gt;=K3,L33&lt;=L3),"CASE 3",IF(AND(K33&lt;=K3,L33&gt;=L3),"CASE 4",FALSE()))))</f>
        <v>CASE 2</v>
      </c>
      <c r="M37" s="1">
        <v>0.80932236980000005</v>
      </c>
      <c r="N37" t="str">
        <f t="shared" ref="N37:N39" si="59">IF(AND(N33&lt;=N3,N33&gt;=O3),"CASE 2",IF(AND(O33&lt;=N3,O33&gt;=O3),"CASE 1",IF(AND(N33&gt;=N3,O33&lt;=O3),"CASE 3",IF(AND(N33&lt;=N3,O33&gt;=O3),"CASE 4",FALSE()))))</f>
        <v>CASE 1</v>
      </c>
      <c r="P37" s="1">
        <v>0.2135307253</v>
      </c>
      <c r="Q37" t="str">
        <f t="shared" ref="Q37:Q39" si="60">IF(AND(Q33&lt;=Q3,Q33&gt;=R3),"CASE 2",IF(AND(R33&lt;=Q3,R33&gt;=R3),"CASE 1",IF(AND(Q33&gt;=Q3,R33&lt;=R3),"CASE 3",IF(AND(Q33&lt;=Q3,R33&gt;=R3),"CASE 4",FALSE()))))</f>
        <v>CASE 1</v>
      </c>
      <c r="S37" s="1">
        <v>0.19913873300000001</v>
      </c>
      <c r="T37" t="str">
        <f t="shared" ref="T37:T39" si="61">IF(AND(T33&lt;=T3,T33&gt;=U3),"CASE 2",IF(AND(U33&lt;=T3,U33&gt;=U3),"CASE 1",IF(AND(T33&gt;=T3,U33&lt;=U3),"CASE 3",IF(AND(T33&lt;=T3,U33&gt;=U3),"CASE 4",FALSE()))))</f>
        <v>CASE 2</v>
      </c>
      <c r="V37" s="1">
        <v>0.74598456840000005</v>
      </c>
      <c r="W37" t="str">
        <f t="shared" ref="W37:W39" si="62">IF(AND(W33&lt;=W3,W33&gt;=X3),"CASE 2",IF(AND(X33&lt;=W3,X33&gt;=X3),"CASE 1",IF(AND(W33&gt;=W3,X33&lt;=X3),"CASE 3",IF(AND(W33&lt;=W3,X33&gt;=X3),"CASE 4",FALSE()))))</f>
        <v>CASE 3</v>
      </c>
      <c r="Y37" s="1">
        <v>0.90684031210000005</v>
      </c>
      <c r="Z37" t="str">
        <f t="shared" ref="Z37:Z39" si="63">IF(AND(Z33&lt;=Z3,Z33&gt;=AA3),"CASE 2",IF(AND(AA33&lt;=Z3,AA33&gt;=AA3),"CASE 1",IF(AND(Z33&gt;=Z3,AA33&lt;=AA3),"CASE 3",IF(AND(Z33&lt;=Z3,AA33&gt;=AA3),"CASE 4",FALSE()))))</f>
        <v>CASE 3</v>
      </c>
      <c r="AB37" s="1">
        <v>0.60918667839999996</v>
      </c>
      <c r="AC37" t="str">
        <f t="shared" ref="AC37:AC39" si="64">IF(AND(AC33&lt;=AC3,AC33&gt;=AD3),"CASE 2",IF(AND(AD33&lt;=AC3,AD33&gt;=AD3),"CASE 1",IF(AND(AC33&gt;=AC3,AD33&lt;=AD3),"CASE 3",IF(AND(AC33&lt;=AC3,AD33&gt;=AD3),"CASE 4",FALSE()))))</f>
        <v>CASE 1</v>
      </c>
      <c r="AE37" s="1">
        <v>2.6340765340000001</v>
      </c>
      <c r="AF37" t="b">
        <f t="shared" ref="AF37:AF39" si="65">IF(AND(AF33&lt;=AF3,AF33&gt;=AG3),"CASE 2",IF(AND(AG33&lt;=AF3,AG33&gt;=AG3),"CASE 1",IF(AND(AF33&gt;=AF3,AG33&lt;=AG3),"CASE 3",IF(AND(AF33&lt;=AF3,AG33&gt;=AG3),"CASE 4",FALSE()))))</f>
        <v>0</v>
      </c>
    </row>
    <row r="38" spans="1:33" x14ac:dyDescent="0.35">
      <c r="A38" s="1">
        <v>0.17392792609999999</v>
      </c>
      <c r="B38" t="b">
        <f t="shared" si="55"/>
        <v>0</v>
      </c>
      <c r="D38" s="1">
        <v>0.56781720089999999</v>
      </c>
      <c r="E38" t="str">
        <f t="shared" si="56"/>
        <v>CASE 2</v>
      </c>
      <c r="G38" s="1">
        <v>8.6109564299999997E-2</v>
      </c>
      <c r="H38" t="str">
        <f t="shared" si="57"/>
        <v>CASE 3</v>
      </c>
      <c r="J38" s="1">
        <v>0.21028930770000001</v>
      </c>
      <c r="K38" t="str">
        <f t="shared" si="58"/>
        <v>CASE 2</v>
      </c>
      <c r="M38" s="1">
        <v>1.0819122130000001</v>
      </c>
      <c r="N38" t="str">
        <f t="shared" si="59"/>
        <v>CASE 3</v>
      </c>
      <c r="P38" s="1">
        <v>0.27255882469999998</v>
      </c>
      <c r="Q38" t="str">
        <f t="shared" si="60"/>
        <v>CASE 1</v>
      </c>
      <c r="S38" s="1">
        <v>0.1220954551</v>
      </c>
      <c r="T38" t="str">
        <f t="shared" si="61"/>
        <v>CASE 2</v>
      </c>
      <c r="V38" s="1">
        <v>0.25993741460000003</v>
      </c>
      <c r="W38" t="str">
        <f t="shared" si="62"/>
        <v>CASE 1</v>
      </c>
      <c r="Y38" s="1">
        <v>0.40038774240000002</v>
      </c>
      <c r="Z38" t="str">
        <f t="shared" si="63"/>
        <v>CASE 3</v>
      </c>
      <c r="AB38" s="1">
        <v>0.96235983979999995</v>
      </c>
      <c r="AC38" t="str">
        <f t="shared" si="64"/>
        <v>CASE 1</v>
      </c>
      <c r="AE38" s="1">
        <v>0.7912182659</v>
      </c>
      <c r="AF38" t="str">
        <f t="shared" si="65"/>
        <v>CASE 3</v>
      </c>
    </row>
    <row r="39" spans="1:33" x14ac:dyDescent="0.35">
      <c r="A39" s="1">
        <v>0.1002666348</v>
      </c>
      <c r="B39" t="b">
        <f t="shared" si="55"/>
        <v>0</v>
      </c>
      <c r="D39" s="1">
        <v>0.18512545</v>
      </c>
      <c r="E39" t="str">
        <f t="shared" si="56"/>
        <v>CASE 3</v>
      </c>
      <c r="G39" s="1">
        <v>0.17293051800000001</v>
      </c>
      <c r="H39" t="str">
        <f t="shared" si="57"/>
        <v>CASE 3</v>
      </c>
      <c r="J39" s="1">
        <v>9.1992621550000001E-2</v>
      </c>
      <c r="K39" t="str">
        <f t="shared" si="58"/>
        <v>CASE 3</v>
      </c>
      <c r="M39" s="1">
        <v>0.3068379081</v>
      </c>
      <c r="N39" t="str">
        <f t="shared" si="59"/>
        <v>CASE 3</v>
      </c>
      <c r="P39" s="1">
        <v>0.1074659746</v>
      </c>
      <c r="Q39" t="str">
        <f t="shared" si="60"/>
        <v>CASE 2</v>
      </c>
      <c r="S39" s="1">
        <v>9.2924032759999997E-2</v>
      </c>
      <c r="T39" t="str">
        <f t="shared" si="61"/>
        <v>CASE 2</v>
      </c>
      <c r="V39" s="1">
        <v>0.32518419399999998</v>
      </c>
      <c r="W39" t="str">
        <f t="shared" si="62"/>
        <v>CASE 3</v>
      </c>
      <c r="Y39" s="1">
        <v>0.31428518160000002</v>
      </c>
      <c r="Z39" t="str">
        <f t="shared" si="63"/>
        <v>CASE 3</v>
      </c>
      <c r="AB39" s="1">
        <v>0.31717634579999998</v>
      </c>
      <c r="AC39" t="str">
        <f t="shared" si="64"/>
        <v>CASE 3</v>
      </c>
      <c r="AE39" s="1">
        <v>1.507017966</v>
      </c>
      <c r="AF39" t="str">
        <f t="shared" si="65"/>
        <v>CASE 1</v>
      </c>
    </row>
    <row r="41" spans="1:33" x14ac:dyDescent="0.35">
      <c r="A41" s="1" t="s">
        <v>4</v>
      </c>
    </row>
    <row r="42" spans="1:33" x14ac:dyDescent="0.35">
      <c r="A42" s="1">
        <v>16.381330609999999</v>
      </c>
      <c r="B42">
        <f>A42+A46</f>
        <v>16.414993531</v>
      </c>
      <c r="C42">
        <f>A42-A46</f>
        <v>16.347667688999998</v>
      </c>
      <c r="D42" s="1">
        <v>15.449353929999999</v>
      </c>
      <c r="E42">
        <f>D42+D46</f>
        <v>15.641469245</v>
      </c>
      <c r="F42">
        <f>D42-D46</f>
        <v>15.257238614999999</v>
      </c>
      <c r="G42" s="1">
        <v>15.90271235</v>
      </c>
      <c r="H42">
        <f>G42+G46</f>
        <v>15.938719569</v>
      </c>
      <c r="I42">
        <f>G42-G46</f>
        <v>15.866705131</v>
      </c>
      <c r="J42" s="1">
        <v>15.90458709</v>
      </c>
      <c r="K42">
        <f>J42+J46</f>
        <v>15.961663343</v>
      </c>
      <c r="L42">
        <f>J42-J46</f>
        <v>15.847510837</v>
      </c>
      <c r="M42" s="1">
        <v>15.80879283</v>
      </c>
      <c r="N42">
        <f>M42+M46</f>
        <v>15.998379622</v>
      </c>
      <c r="O42">
        <f>M42-M46</f>
        <v>15.619206038</v>
      </c>
      <c r="P42" s="1">
        <v>15.741784689999999</v>
      </c>
      <c r="Q42">
        <f>P42+P46</f>
        <v>15.805343808</v>
      </c>
      <c r="R42">
        <f>P42-P46</f>
        <v>15.678225571999999</v>
      </c>
      <c r="S42" s="1">
        <v>16.07543197</v>
      </c>
      <c r="T42">
        <f>S42+S46</f>
        <v>16.112185504999999</v>
      </c>
      <c r="U42">
        <f>S42-S46</f>
        <v>16.038678435000001</v>
      </c>
      <c r="V42" s="1">
        <v>15.509395120000001</v>
      </c>
      <c r="W42">
        <f>V42+V46</f>
        <v>15.600797325</v>
      </c>
      <c r="X42">
        <f>V42-V46</f>
        <v>15.417992915000001</v>
      </c>
      <c r="Y42" s="1">
        <v>14.80639839</v>
      </c>
      <c r="Z42">
        <f>Y42+Y46</f>
        <v>14.907856905999999</v>
      </c>
      <c r="AA42">
        <f>Y42-Y46</f>
        <v>14.704939874000001</v>
      </c>
      <c r="AB42" s="1">
        <v>15.01178217</v>
      </c>
      <c r="AC42">
        <f>AB42+AB46</f>
        <v>15.166059178999999</v>
      </c>
      <c r="AD42">
        <f>AB42-AB46</f>
        <v>14.857505161000001</v>
      </c>
      <c r="AE42" s="1">
        <v>16.209461449999999</v>
      </c>
      <c r="AF42">
        <f>AE42+AE46</f>
        <v>16.494823287999999</v>
      </c>
      <c r="AG42">
        <f>AE42-AE46</f>
        <v>15.924099611999999</v>
      </c>
    </row>
    <row r="43" spans="1:33" x14ac:dyDescent="0.35">
      <c r="A43" s="1">
        <v>4.7657705249999998</v>
      </c>
      <c r="B43">
        <f>A43+A47</f>
        <v>5.1430531219999995</v>
      </c>
      <c r="C43">
        <f>A43-A47</f>
        <v>4.388487928</v>
      </c>
      <c r="D43" s="1">
        <v>3.6882333460000001</v>
      </c>
      <c r="E43">
        <f>D43+D47</f>
        <v>4.1082662010000002</v>
      </c>
      <c r="F43">
        <f>D43-D47</f>
        <v>3.268200491</v>
      </c>
      <c r="G43" s="1">
        <v>4.3505671320000001</v>
      </c>
      <c r="H43">
        <f>G43+G47</f>
        <v>4.6529884670000001</v>
      </c>
      <c r="I43">
        <f>G43-G47</f>
        <v>4.0481457970000001</v>
      </c>
      <c r="J43" s="1">
        <v>4.2189898489999997</v>
      </c>
      <c r="K43">
        <f>J43+J47</f>
        <v>4.445905561</v>
      </c>
      <c r="L43">
        <f>J43-J47</f>
        <v>3.9920741369999999</v>
      </c>
      <c r="M43" s="1">
        <v>4.3402384539999996</v>
      </c>
      <c r="N43">
        <f>M43+M47</f>
        <v>5.1483560939999995</v>
      </c>
      <c r="O43">
        <f>M43-M47</f>
        <v>3.5321208139999998</v>
      </c>
      <c r="P43" s="1">
        <v>4.7464456559999997</v>
      </c>
      <c r="Q43">
        <f>P43+P47</f>
        <v>4.9601068999999995</v>
      </c>
      <c r="R43">
        <f>P43-P47</f>
        <v>4.5327844119999998</v>
      </c>
      <c r="S43" s="1">
        <v>3.8969970250000001</v>
      </c>
      <c r="T43">
        <f>S43+S47</f>
        <v>4.097264</v>
      </c>
      <c r="U43">
        <f>S43-S47</f>
        <v>3.6967300500000002</v>
      </c>
      <c r="V43" s="1">
        <v>4.6199015269999997</v>
      </c>
      <c r="W43">
        <f>V43+V47</f>
        <v>5.3676122749999999</v>
      </c>
      <c r="X43">
        <f>V43-V47</f>
        <v>3.8721907789999994</v>
      </c>
      <c r="Y43" s="1">
        <v>4.5093471410000001</v>
      </c>
      <c r="Z43">
        <f>Y43+Y47</f>
        <v>5.3797095280000002</v>
      </c>
      <c r="AA43">
        <f>Y43-Y47</f>
        <v>3.638984754</v>
      </c>
      <c r="AB43" s="1">
        <v>5.3043415549999997</v>
      </c>
      <c r="AC43">
        <f>AB43+AB47</f>
        <v>5.9144359350000002</v>
      </c>
      <c r="AD43">
        <f>AB43-AB47</f>
        <v>4.6942471749999992</v>
      </c>
      <c r="AE43" s="1">
        <v>20</v>
      </c>
      <c r="AF43">
        <f>AE43+AE47</f>
        <v>22.581572586</v>
      </c>
      <c r="AG43">
        <f>AE43-AE47</f>
        <v>17.418427414</v>
      </c>
    </row>
    <row r="44" spans="1:33" x14ac:dyDescent="0.35">
      <c r="A44" s="1">
        <v>3.2734399380000001</v>
      </c>
      <c r="B44">
        <f>A44+A47</f>
        <v>3.6507225349999999</v>
      </c>
      <c r="C44">
        <f>A44-A47</f>
        <v>2.8961573410000003</v>
      </c>
      <c r="D44" s="1">
        <v>2.1378398669999998</v>
      </c>
      <c r="E44">
        <f>D44+D47</f>
        <v>2.5578727219999999</v>
      </c>
      <c r="F44">
        <f>D44-D47</f>
        <v>1.7178070119999997</v>
      </c>
      <c r="G44" s="1">
        <v>1.1618798560000001</v>
      </c>
      <c r="H44">
        <f>G44+G47</f>
        <v>1.4643011910000001</v>
      </c>
      <c r="I44">
        <f>G44-G47</f>
        <v>0.85945852100000009</v>
      </c>
      <c r="J44" s="1">
        <v>2.243941113</v>
      </c>
      <c r="K44">
        <f>J44+J47</f>
        <v>2.4708568249999998</v>
      </c>
      <c r="L44">
        <f>J44-J47</f>
        <v>2.0170254010000002</v>
      </c>
      <c r="M44" s="1">
        <v>3.202852719</v>
      </c>
      <c r="N44">
        <f>M44+M47</f>
        <v>4.0109703589999999</v>
      </c>
      <c r="O44">
        <f>M44-M47</f>
        <v>2.3947350790000002</v>
      </c>
      <c r="P44" s="1">
        <v>2.9599857140000001</v>
      </c>
      <c r="Q44">
        <f>P44+P47</f>
        <v>3.173646958</v>
      </c>
      <c r="R44">
        <f>P44-P47</f>
        <v>2.7463244700000002</v>
      </c>
      <c r="S44" s="1">
        <v>1.8673411529999999</v>
      </c>
      <c r="T44">
        <f>S44+S47</f>
        <v>2.0676081279999998</v>
      </c>
      <c r="U44">
        <f>S44-S47</f>
        <v>1.667074178</v>
      </c>
      <c r="V44" s="1">
        <v>1.7166901569999999</v>
      </c>
      <c r="W44">
        <f>V44+V47</f>
        <v>2.4644009049999998</v>
      </c>
      <c r="X44">
        <f>V44-V47</f>
        <v>0.9689794089999999</v>
      </c>
      <c r="Y44" s="1">
        <v>1.8484171439999999</v>
      </c>
      <c r="Z44">
        <f>Y44+Y47</f>
        <v>2.718779531</v>
      </c>
      <c r="AA44">
        <f>Y44-Y47</f>
        <v>0.97805475699999989</v>
      </c>
      <c r="AB44" s="1">
        <v>3.242171489</v>
      </c>
      <c r="AC44">
        <f>AB44+AB47</f>
        <v>3.852265869</v>
      </c>
      <c r="AD44">
        <f>AB44-AB47</f>
        <v>2.6320771089999999</v>
      </c>
      <c r="AE44" s="1">
        <v>2.9944122019999999</v>
      </c>
      <c r="AF44">
        <f>AE44+AE47</f>
        <v>5.5759847879999995</v>
      </c>
      <c r="AG44">
        <f>AE44-AE47</f>
        <v>0.41283961599999985</v>
      </c>
    </row>
    <row r="45" spans="1:33" x14ac:dyDescent="0.35">
      <c r="A45" s="1">
        <v>2.1731528939999998</v>
      </c>
      <c r="B45">
        <f>A45+A49</f>
        <v>2.259992016</v>
      </c>
      <c r="C45">
        <f>A45-A49</f>
        <v>2.0863137719999996</v>
      </c>
      <c r="D45" s="1">
        <v>1.816082478</v>
      </c>
      <c r="E45">
        <f>D45+D49</f>
        <v>2.0029267769999999</v>
      </c>
      <c r="F45">
        <f>D45-D49</f>
        <v>1.6292381790000001</v>
      </c>
      <c r="G45" s="1">
        <v>1.9276490209999999</v>
      </c>
      <c r="H45">
        <f>G45+G49</f>
        <v>2.103134732</v>
      </c>
      <c r="I45">
        <f>G45-G49</f>
        <v>1.7521633099999998</v>
      </c>
      <c r="J45" s="1">
        <v>1.9170170129999999</v>
      </c>
      <c r="K45">
        <f>J45+J49</f>
        <v>2.0087454309999999</v>
      </c>
      <c r="L45">
        <f>J45-J49</f>
        <v>1.825288595</v>
      </c>
      <c r="M45" s="1">
        <v>2.283215523</v>
      </c>
      <c r="N45">
        <f>M45+M49</f>
        <v>2.5906330849999999</v>
      </c>
      <c r="O45">
        <f>M45-M49</f>
        <v>1.975797961</v>
      </c>
      <c r="P45" s="1">
        <v>2.0396769049999999</v>
      </c>
      <c r="Q45">
        <f>P45+P49</f>
        <v>2.1470450909999999</v>
      </c>
      <c r="R45">
        <f>P45-P49</f>
        <v>1.9323087189999999</v>
      </c>
      <c r="S45" s="1">
        <v>1.6186513380000001</v>
      </c>
      <c r="T45">
        <f>S45+S49</f>
        <v>1.712035577</v>
      </c>
      <c r="U45">
        <f>S45-S49</f>
        <v>1.5252670990000001</v>
      </c>
      <c r="V45" s="1">
        <v>1.99083136</v>
      </c>
      <c r="W45">
        <f>V45+V49</f>
        <v>2.3166612950000003</v>
      </c>
      <c r="X45">
        <f>V45-V49</f>
        <v>1.665001425</v>
      </c>
      <c r="Y45" s="1">
        <v>1.949904442</v>
      </c>
      <c r="Z45">
        <f>Y45+Y49</f>
        <v>2.2533030680000001</v>
      </c>
      <c r="AA45">
        <f>Y45-Y49</f>
        <v>1.6465058159999999</v>
      </c>
      <c r="AB45" s="1">
        <v>1.7167949680000001</v>
      </c>
      <c r="AC45">
        <f>AB45+AB49</f>
        <v>2.0344384870000001</v>
      </c>
      <c r="AD45">
        <f>AB45-AB49</f>
        <v>1.3991514490000001</v>
      </c>
      <c r="AE45" s="1">
        <v>2.88249588</v>
      </c>
      <c r="AF45">
        <f>AE45+AE49</f>
        <v>4.3685407759999997</v>
      </c>
      <c r="AG45">
        <f>AE45-AE49</f>
        <v>1.3964509840000001</v>
      </c>
    </row>
    <row r="46" spans="1:33" x14ac:dyDescent="0.35">
      <c r="A46" s="1">
        <v>3.3662920999999998E-2</v>
      </c>
      <c r="B46" t="str">
        <f>IF(AND(B42&lt;=B2,B42&gt;=C2),"CASE 2",IF(AND(C42&lt;=B2,C42&gt;=C2),"CASE 1",IF(AND(B42&gt;=B2,C42&lt;=C2),"CASE 3",IF(AND(B42&lt;=B2,C42&gt;=C2),"CASE 4",FALSE()))))</f>
        <v>CASE 2</v>
      </c>
      <c r="D46" s="1">
        <v>0.19211531500000001</v>
      </c>
      <c r="E46" t="str">
        <f>IF(AND(E42&lt;=E2,E42&gt;=F2),"CASE 2",IF(AND(F42&lt;=E2,F42&gt;=F2),"CASE 1",IF(AND(E42&gt;=E2,F42&lt;=F2),"CASE 3",IF(AND(E42&lt;=E2,F42&gt;=F2),"CASE 4",FALSE()))))</f>
        <v>CASE 2</v>
      </c>
      <c r="G46" s="1">
        <v>3.6007219E-2</v>
      </c>
      <c r="H46" t="str">
        <f>IF(AND(H42&lt;=H2,H42&gt;=I2),"CASE 2",IF(AND(I42&lt;=H2,I42&gt;=I2),"CASE 1",IF(AND(H42&gt;=H2,I42&lt;=I2),"CASE 3",IF(AND(H42&lt;=H2,I42&gt;=I2),"CASE 4",FALSE()))))</f>
        <v>CASE 3</v>
      </c>
      <c r="J46" s="1">
        <v>5.7076253E-2</v>
      </c>
      <c r="K46" t="str">
        <f>IF(AND(K42&lt;=K2,K42&gt;=L2),"CASE 2",IF(AND(L42&lt;=K2,L42&gt;=L2),"CASE 1",IF(AND(K42&gt;=K2,L42&lt;=L2),"CASE 3",IF(AND(K42&lt;=K2,L42&gt;=L2),"CASE 4",FALSE()))))</f>
        <v>CASE 2</v>
      </c>
      <c r="M46" s="1">
        <v>0.189586792</v>
      </c>
      <c r="N46" t="str">
        <f>IF(AND(N42&lt;=N2,N42&gt;=O2),"CASE 2",IF(AND(O42&lt;=N2,O42&gt;=O2),"CASE 1",IF(AND(N42&gt;=N2,O42&lt;=O2),"CASE 3",IF(AND(N42&lt;=N2,O42&gt;=O2),"CASE 4",FALSE()))))</f>
        <v>CASE 3</v>
      </c>
      <c r="P46" s="1">
        <v>6.3559117999999998E-2</v>
      </c>
      <c r="Q46" t="str">
        <f>IF(AND(Q42&lt;=Q2,Q42&gt;=R2),"CASE 2",IF(AND(R42&lt;=Q2,R42&gt;=R2),"CASE 1",IF(AND(Q42&gt;=Q2,R42&lt;=R2),"CASE 3",IF(AND(Q42&lt;=Q2,R42&gt;=R2),"CASE 4",FALSE()))))</f>
        <v>CASE 1</v>
      </c>
      <c r="S46" s="1">
        <v>3.6753534999999997E-2</v>
      </c>
      <c r="T46" t="str">
        <f>IF(AND(T42&lt;=T2,T42&gt;=U2),"CASE 2",IF(AND(U42&lt;=T2,U42&gt;=U2),"CASE 1",IF(AND(T42&gt;=T2,U42&lt;=U2),"CASE 3",IF(AND(T42&lt;=T2,U42&gt;=U2),"CASE 4",FALSE()))))</f>
        <v>CASE 2</v>
      </c>
      <c r="V46" s="1">
        <v>9.1402205E-2</v>
      </c>
      <c r="W46" t="str">
        <f>IF(AND(W42&lt;=W2,W42&gt;=X2),"CASE 2",IF(AND(X42&lt;=W2,X42&gt;=X2),"CASE 1",IF(AND(W42&gt;=W2,X42&lt;=X2),"CASE 3",IF(AND(W42&lt;=W2,X42&gt;=X2),"CASE 4",FALSE()))))</f>
        <v>CASE 3</v>
      </c>
      <c r="Y46" s="1">
        <v>0.101458516</v>
      </c>
      <c r="Z46" t="str">
        <f>IF(AND(Z42&lt;=Z2,Z42&gt;=AA2),"CASE 2",IF(AND(AA42&lt;=Z2,AA42&gt;=AA2),"CASE 1",IF(AND(Z42&gt;=Z2,AA42&lt;=AA2),"CASE 3",IF(AND(Z42&lt;=Z2,AA42&gt;=AA2),"CASE 4",FALSE()))))</f>
        <v>CASE 2</v>
      </c>
      <c r="AB46" s="1">
        <v>0.15427700899999999</v>
      </c>
      <c r="AC46" t="str">
        <f>IF(AND(AC42&lt;=AC2,AC42&gt;=AD2),"CASE 2",IF(AND(AD42&lt;=AC2,AD42&gt;=AD2),"CASE 1",IF(AND(AC42&gt;=AC2,AD42&lt;=AD2),"CASE 3",IF(AND(AC42&lt;=AC2,AD42&gt;=AD2),"CASE 4",FALSE()))))</f>
        <v>CASE 1</v>
      </c>
      <c r="AE46" s="1">
        <v>0.28536183799999998</v>
      </c>
      <c r="AF46" t="b">
        <f>IF(AND(AF42&lt;=AF2,AF42&gt;=AG2),"CASE 2",IF(AND(AG42&lt;=AF2,AG42&gt;=AG2),"CASE 1",IF(AND(AF42&gt;=AF2,AG42&lt;=AG2),"CASE 3",IF(AND(AF42&lt;=AF2,AG42&gt;=AG2),"CASE 4",FALSE()))))</f>
        <v>0</v>
      </c>
    </row>
    <row r="47" spans="1:33" x14ac:dyDescent="0.35">
      <c r="A47" s="1">
        <v>0.377282597</v>
      </c>
      <c r="B47" t="b">
        <f t="shared" ref="B47:B49" si="66">IF(AND(B43&lt;=B3,B43&gt;=C3),"CASE 2",IF(AND(C43&lt;=B3,C43&gt;=C3),"CASE 1",IF(AND(B43&gt;=B3,C43&lt;=C3),"CASE 3",IF(AND(B43&lt;=B3,C43&gt;=C3),"CASE 4",FALSE()))))</f>
        <v>0</v>
      </c>
      <c r="D47" s="1">
        <v>0.42003285499999998</v>
      </c>
      <c r="E47" t="str">
        <f t="shared" ref="E47:E49" si="67">IF(AND(E43&lt;=E3,E43&gt;=F3),"CASE 2",IF(AND(F43&lt;=E3,F43&gt;=F3),"CASE 1",IF(AND(E43&gt;=E3,F43&lt;=F3),"CASE 3",IF(AND(E43&lt;=E3,F43&gt;=F3),"CASE 4",FALSE()))))</f>
        <v>CASE 1</v>
      </c>
      <c r="G47" s="1">
        <v>0.30242133500000001</v>
      </c>
      <c r="H47" t="str">
        <f t="shared" ref="H47:H49" si="68">IF(AND(H43&lt;=H3,H43&gt;=I3),"CASE 2",IF(AND(I43&lt;=H3,I43&gt;=I3),"CASE 1",IF(AND(H43&gt;=H3,I43&lt;=I3),"CASE 3",IF(AND(H43&lt;=H3,I43&gt;=I3),"CASE 4",FALSE()))))</f>
        <v>CASE 1</v>
      </c>
      <c r="J47" s="1">
        <v>0.22691571199999999</v>
      </c>
      <c r="K47" t="str">
        <f t="shared" ref="K47:K49" si="69">IF(AND(K43&lt;=K3,K43&gt;=L3),"CASE 2",IF(AND(L43&lt;=K3,L43&gt;=L3),"CASE 1",IF(AND(K43&gt;=K3,L43&lt;=L3),"CASE 3",IF(AND(K43&lt;=K3,L43&gt;=L3),"CASE 4",FALSE()))))</f>
        <v>CASE 2</v>
      </c>
      <c r="M47" s="1">
        <v>0.80811763999999997</v>
      </c>
      <c r="N47" t="str">
        <f t="shared" ref="N47:N49" si="70">IF(AND(N43&lt;=N3,N43&gt;=O3),"CASE 2",IF(AND(O43&lt;=N3,O43&gt;=O3),"CASE 1",IF(AND(N43&gt;=N3,O43&lt;=O3),"CASE 3",IF(AND(N43&lt;=N3,O43&gt;=O3),"CASE 4",FALSE()))))</f>
        <v>CASE 1</v>
      </c>
      <c r="P47" s="1">
        <v>0.213661244</v>
      </c>
      <c r="Q47" t="str">
        <f t="shared" ref="Q47:Q49" si="71">IF(AND(Q43&lt;=Q3,Q43&gt;=R3),"CASE 2",IF(AND(R43&lt;=Q3,R43&gt;=R3),"CASE 1",IF(AND(Q43&gt;=Q3,R43&lt;=R3),"CASE 3",IF(AND(Q43&lt;=Q3,R43&gt;=R3),"CASE 4",FALSE()))))</f>
        <v>CASE 1</v>
      </c>
      <c r="S47" s="1">
        <v>0.20026697500000001</v>
      </c>
      <c r="T47" t="str">
        <f t="shared" ref="T47:T49" si="72">IF(AND(T43&lt;=T3,T43&gt;=U3),"CASE 2",IF(AND(U43&lt;=T3,U43&gt;=U3),"CASE 1",IF(AND(T43&gt;=T3,U43&lt;=U3),"CASE 3",IF(AND(T43&lt;=T3,U43&gt;=U3),"CASE 4",FALSE()))))</f>
        <v>CASE 2</v>
      </c>
      <c r="V47" s="1">
        <v>0.74771074800000004</v>
      </c>
      <c r="W47" t="str">
        <f t="shared" ref="W47:W49" si="73">IF(AND(W43&lt;=W3,W43&gt;=X3),"CASE 2",IF(AND(X43&lt;=W3,X43&gt;=X3),"CASE 1",IF(AND(W43&gt;=W3,X43&lt;=X3),"CASE 3",IF(AND(W43&lt;=W3,X43&gt;=X3),"CASE 4",FALSE()))))</f>
        <v>CASE 3</v>
      </c>
      <c r="Y47" s="1">
        <v>0.87036238700000002</v>
      </c>
      <c r="Z47" t="str">
        <f t="shared" ref="Z47:Z49" si="74">IF(AND(Z43&lt;=Z3,Z43&gt;=AA3),"CASE 2",IF(AND(AA43&lt;=Z3,AA43&gt;=AA3),"CASE 1",IF(AND(Z43&gt;=Z3,AA43&lt;=AA3),"CASE 3",IF(AND(Z43&lt;=Z3,AA43&gt;=AA3),"CASE 4",FALSE()))))</f>
        <v>CASE 3</v>
      </c>
      <c r="AB47" s="1">
        <v>0.61009438000000005</v>
      </c>
      <c r="AC47" t="str">
        <f t="shared" ref="AC47:AC49" si="75">IF(AND(AC43&lt;=AC3,AC43&gt;=AD3),"CASE 2",IF(AND(AD43&lt;=AC3,AD43&gt;=AD3),"CASE 1",IF(AND(AC43&gt;=AC3,AD43&lt;=AD3),"CASE 3",IF(AND(AC43&lt;=AC3,AD43&gt;=AD3),"CASE 4",FALSE()))))</f>
        <v>CASE 1</v>
      </c>
      <c r="AE47" s="1">
        <v>2.5815725860000001</v>
      </c>
      <c r="AF47" t="b">
        <f t="shared" ref="AF47:AF49" si="76">IF(AND(AF43&lt;=AF3,AF43&gt;=AG3),"CASE 2",IF(AND(AG43&lt;=AF3,AG43&gt;=AG3),"CASE 1",IF(AND(AF43&gt;=AF3,AG43&lt;=AG3),"CASE 3",IF(AND(AF43&lt;=AF3,AG43&gt;=AG3),"CASE 4",FALSE()))))</f>
        <v>0</v>
      </c>
    </row>
    <row r="48" spans="1:33" x14ac:dyDescent="0.35">
      <c r="A48" s="1">
        <v>0.13973933699999999</v>
      </c>
      <c r="B48" t="b">
        <f t="shared" si="66"/>
        <v>0</v>
      </c>
      <c r="D48" s="1">
        <v>0.54441058600000003</v>
      </c>
      <c r="E48" t="str">
        <f t="shared" si="67"/>
        <v>CASE 2</v>
      </c>
      <c r="G48" s="1">
        <v>8.2566212E-2</v>
      </c>
      <c r="H48" t="str">
        <f t="shared" si="68"/>
        <v>CASE 3</v>
      </c>
      <c r="J48" s="1">
        <v>0.210383564</v>
      </c>
      <c r="K48" t="str">
        <f t="shared" si="69"/>
        <v>CASE 2</v>
      </c>
      <c r="M48" s="1">
        <v>1.0834382469999999</v>
      </c>
      <c r="N48" t="str">
        <f t="shared" si="70"/>
        <v>CASE 3</v>
      </c>
      <c r="P48" s="1">
        <v>0.27295931299999998</v>
      </c>
      <c r="Q48" t="str">
        <f t="shared" si="71"/>
        <v>CASE 1</v>
      </c>
      <c r="S48" s="1">
        <v>0.12256990399999999</v>
      </c>
      <c r="T48" t="str">
        <f t="shared" si="72"/>
        <v>CASE 2</v>
      </c>
      <c r="V48" s="1">
        <v>0.25791089699999997</v>
      </c>
      <c r="W48" t="str">
        <f t="shared" si="73"/>
        <v>CASE 1</v>
      </c>
      <c r="Y48" s="1">
        <v>0.40632552300000002</v>
      </c>
      <c r="Z48" t="str">
        <f t="shared" si="74"/>
        <v>CASE 3</v>
      </c>
      <c r="AB48" s="1">
        <v>0.96378960400000002</v>
      </c>
      <c r="AC48" t="str">
        <f t="shared" si="75"/>
        <v>CASE 1</v>
      </c>
      <c r="AE48" s="1">
        <v>0.792231087</v>
      </c>
      <c r="AF48" t="str">
        <f t="shared" si="76"/>
        <v>CASE 3</v>
      </c>
    </row>
    <row r="49" spans="1:33" x14ac:dyDescent="0.35">
      <c r="A49" s="1">
        <v>8.6839122000000005E-2</v>
      </c>
      <c r="B49" t="b">
        <f t="shared" si="66"/>
        <v>0</v>
      </c>
      <c r="D49" s="1">
        <v>0.18684429899999999</v>
      </c>
      <c r="E49" t="str">
        <f t="shared" si="67"/>
        <v>CASE 3</v>
      </c>
      <c r="G49" s="1">
        <v>0.17548571099999999</v>
      </c>
      <c r="H49" t="str">
        <f t="shared" si="68"/>
        <v>CASE 3</v>
      </c>
      <c r="J49" s="1">
        <v>9.1728418000000006E-2</v>
      </c>
      <c r="K49" t="str">
        <f t="shared" si="69"/>
        <v>CASE 3</v>
      </c>
      <c r="M49" s="1">
        <v>0.30741756199999998</v>
      </c>
      <c r="N49" t="str">
        <f t="shared" si="70"/>
        <v>CASE 3</v>
      </c>
      <c r="P49" s="1">
        <v>0.107368186</v>
      </c>
      <c r="Q49" t="str">
        <f t="shared" si="71"/>
        <v>CASE 2</v>
      </c>
      <c r="S49" s="1">
        <v>9.3384238999999994E-2</v>
      </c>
      <c r="T49" t="str">
        <f t="shared" si="72"/>
        <v>CASE 2</v>
      </c>
      <c r="V49" s="1">
        <v>0.32582993500000001</v>
      </c>
      <c r="W49" t="str">
        <f t="shared" si="73"/>
        <v>CASE 3</v>
      </c>
      <c r="Y49" s="1">
        <v>0.303398626</v>
      </c>
      <c r="Z49" t="str">
        <f t="shared" si="74"/>
        <v>CASE 3</v>
      </c>
      <c r="AB49" s="1">
        <v>0.31764351899999999</v>
      </c>
      <c r="AC49" t="str">
        <f t="shared" si="75"/>
        <v>CASE 3</v>
      </c>
      <c r="AE49" s="1">
        <v>1.4860448959999999</v>
      </c>
      <c r="AF49" t="str">
        <f t="shared" si="76"/>
        <v>CASE 1</v>
      </c>
    </row>
    <row r="51" spans="1:33" x14ac:dyDescent="0.35">
      <c r="A51" s="1" t="s">
        <v>5</v>
      </c>
    </row>
    <row r="52" spans="1:33" x14ac:dyDescent="0.35">
      <c r="A52" s="1">
        <v>16.396186350000001</v>
      </c>
      <c r="B52">
        <f>A52+A56</f>
        <v>16.41726787188</v>
      </c>
      <c r="C52">
        <f>A52-A56</f>
        <v>16.375104828120001</v>
      </c>
      <c r="D52" s="1">
        <v>15.46635783</v>
      </c>
      <c r="E52">
        <f>D52+D56</f>
        <v>15.662252023699999</v>
      </c>
      <c r="F52">
        <f>D52-D56</f>
        <v>15.270463636300001</v>
      </c>
      <c r="G52" s="1">
        <v>15.90564144</v>
      </c>
      <c r="H52">
        <f>G52+G56</f>
        <v>15.943012930170001</v>
      </c>
      <c r="I52">
        <f>G52-G56</f>
        <v>15.868269949829999</v>
      </c>
      <c r="J52" s="1">
        <v>15.910065830000001</v>
      </c>
      <c r="K52">
        <f>J52+J56</f>
        <v>15.96640264234</v>
      </c>
      <c r="L52">
        <f>J52-J56</f>
        <v>15.853729017660001</v>
      </c>
      <c r="M52" s="1">
        <v>15.81004429</v>
      </c>
      <c r="N52">
        <f>M52+M56</f>
        <v>15.9973187124</v>
      </c>
      <c r="O52">
        <f>M52-M56</f>
        <v>15.622769867600001</v>
      </c>
      <c r="P52" s="1">
        <v>15.73239467</v>
      </c>
      <c r="Q52">
        <f>P52+P56</f>
        <v>15.79543377069</v>
      </c>
      <c r="R52">
        <f>P52-P56</f>
        <v>15.66935556931</v>
      </c>
      <c r="S52" s="1">
        <v>16.09637094</v>
      </c>
      <c r="T52">
        <f>S52+S56</f>
        <v>16.136164096070001</v>
      </c>
      <c r="U52">
        <f>S52-S56</f>
        <v>16.056577783929999</v>
      </c>
      <c r="V52" s="1">
        <v>15.4886055</v>
      </c>
      <c r="W52">
        <f>V52+V56</f>
        <v>15.581267276550001</v>
      </c>
      <c r="X52">
        <f>V52-V56</f>
        <v>15.395943723449999</v>
      </c>
      <c r="Y52" s="1">
        <v>14.82047118</v>
      </c>
      <c r="Z52">
        <f>Y52+Y56</f>
        <v>14.9195654681</v>
      </c>
      <c r="AA52">
        <f>Y52-Y56</f>
        <v>14.7213768919</v>
      </c>
      <c r="AB52" s="1">
        <v>15.01187444</v>
      </c>
      <c r="AC52">
        <f>AB52+AB56</f>
        <v>15.1641525253</v>
      </c>
      <c r="AD52">
        <f>AB52-AB56</f>
        <v>14.859596354699999</v>
      </c>
      <c r="AE52" s="1">
        <v>16.107152459999998</v>
      </c>
      <c r="AF52">
        <f>AE52+AE56</f>
        <v>16.398342526299999</v>
      </c>
      <c r="AG52">
        <f>AE52-AE56</f>
        <v>15.815962393699998</v>
      </c>
    </row>
    <row r="53" spans="1:33" x14ac:dyDescent="0.35">
      <c r="A53" s="1">
        <v>3.8582258079999998</v>
      </c>
      <c r="B53">
        <f>A53+A57</f>
        <v>4.0193839535000002</v>
      </c>
      <c r="C53">
        <f>A53-A57</f>
        <v>3.6970676624999999</v>
      </c>
      <c r="D53" s="1">
        <v>3.5903244609999998</v>
      </c>
      <c r="E53">
        <f>D53+D57</f>
        <v>3.9938416123999998</v>
      </c>
      <c r="F53">
        <f>D53-D57</f>
        <v>3.1868073095999998</v>
      </c>
      <c r="G53" s="1">
        <v>4.2917740640000002</v>
      </c>
      <c r="H53">
        <f>G53+G57</f>
        <v>4.5870752348000003</v>
      </c>
      <c r="I53">
        <f>G53-G57</f>
        <v>3.9964728932</v>
      </c>
      <c r="J53" s="1">
        <v>4.2483703200000003</v>
      </c>
      <c r="K53">
        <f>J53+J57</f>
        <v>4.4730351750000006</v>
      </c>
      <c r="L53">
        <f>J53-J57</f>
        <v>4.0237054649999999</v>
      </c>
      <c r="M53" s="1">
        <v>4.3467073440000004</v>
      </c>
      <c r="N53">
        <f>M53+M57</f>
        <v>5.1364835645000007</v>
      </c>
      <c r="O53">
        <f>M53-M57</f>
        <v>3.5569311235000005</v>
      </c>
      <c r="P53" s="1">
        <v>4.6338319779999999</v>
      </c>
      <c r="Q53">
        <f>P53+P57</f>
        <v>4.8423241067999996</v>
      </c>
      <c r="R53">
        <f>P53-P57</f>
        <v>4.4253398492000002</v>
      </c>
      <c r="S53" s="1">
        <v>3.9853460190000001</v>
      </c>
      <c r="T53">
        <f>S53+S57</f>
        <v>4.2029910423999999</v>
      </c>
      <c r="U53">
        <f>S53-S57</f>
        <v>3.7677009956000003</v>
      </c>
      <c r="V53" s="1">
        <v>4.5680142640000003</v>
      </c>
      <c r="W53">
        <f>V53+V57</f>
        <v>5.3326735565000005</v>
      </c>
      <c r="X53">
        <f>V53-V57</f>
        <v>3.8033549715000001</v>
      </c>
      <c r="Y53" s="1">
        <v>4.6418944599999996</v>
      </c>
      <c r="Z53">
        <f>Y53+Y57</f>
        <v>5.5159915125999994</v>
      </c>
      <c r="AA53">
        <f>Y53-Y57</f>
        <v>3.7677974073999998</v>
      </c>
      <c r="AB53" s="1">
        <v>5.3052151199999997</v>
      </c>
      <c r="AC53">
        <f>AB53+AB57</f>
        <v>5.9073138792000002</v>
      </c>
      <c r="AD53">
        <f>AB53-AB57</f>
        <v>4.7031163607999993</v>
      </c>
      <c r="AE53" s="1">
        <v>20</v>
      </c>
      <c r="AF53">
        <f>AE53+AE57</f>
        <v>22.359560977000001</v>
      </c>
      <c r="AG53">
        <f>AE53-AE57</f>
        <v>17.640439022999999</v>
      </c>
    </row>
    <row r="54" spans="1:33" x14ac:dyDescent="0.35">
      <c r="A54" s="1">
        <v>2.6941472649999998</v>
      </c>
      <c r="B54">
        <f>A54+A57</f>
        <v>2.8553054104999998</v>
      </c>
      <c r="C54">
        <f>A54-A57</f>
        <v>2.5329891194999998</v>
      </c>
      <c r="D54" s="1">
        <v>2.1842413660000002</v>
      </c>
      <c r="E54">
        <f>D54+D57</f>
        <v>2.5877585174000002</v>
      </c>
      <c r="F54">
        <f>D54-D57</f>
        <v>1.7807242146000002</v>
      </c>
      <c r="G54" s="1">
        <v>1.1752987429999999</v>
      </c>
      <c r="H54">
        <f>G54+G57</f>
        <v>1.4705999137999999</v>
      </c>
      <c r="I54">
        <f>G54-G57</f>
        <v>0.87999757219999997</v>
      </c>
      <c r="J54" s="1">
        <v>2.2649652360000001</v>
      </c>
      <c r="K54">
        <f>J54+J57</f>
        <v>2.489630091</v>
      </c>
      <c r="L54">
        <f>J54-J57</f>
        <v>2.0403003810000002</v>
      </c>
      <c r="M54" s="1">
        <v>3.2064326520000002</v>
      </c>
      <c r="N54">
        <f>M54+M57</f>
        <v>3.9962088725</v>
      </c>
      <c r="O54">
        <f>M54-M57</f>
        <v>2.4166564315000003</v>
      </c>
      <c r="P54" s="1">
        <v>2.9531110229999999</v>
      </c>
      <c r="Q54">
        <f>P54+P57</f>
        <v>3.1616031518000001</v>
      </c>
      <c r="R54">
        <f>P54-P57</f>
        <v>2.7446188941999998</v>
      </c>
      <c r="S54" s="1">
        <v>2.0361217859999998</v>
      </c>
      <c r="T54">
        <f>S54+S57</f>
        <v>2.2537668093999996</v>
      </c>
      <c r="U54">
        <f>S54-S57</f>
        <v>1.8184767625999998</v>
      </c>
      <c r="V54" s="1">
        <v>1.6815049500000001</v>
      </c>
      <c r="W54">
        <f>V54+V57</f>
        <v>2.4461642425000001</v>
      </c>
      <c r="X54">
        <f>V54-V57</f>
        <v>0.91684565750000013</v>
      </c>
      <c r="Y54" s="1">
        <v>1.8449637759999999</v>
      </c>
      <c r="Z54">
        <f>Y54+Y57</f>
        <v>2.7190608286</v>
      </c>
      <c r="AA54">
        <f>Y54-Y57</f>
        <v>0.97086672339999991</v>
      </c>
      <c r="AB54" s="1">
        <v>3.2424260970000001</v>
      </c>
      <c r="AC54">
        <f>AB54+AB57</f>
        <v>3.8445248562000001</v>
      </c>
      <c r="AD54">
        <f>AB54-AB57</f>
        <v>2.6403273378000001</v>
      </c>
      <c r="AE54" s="1">
        <v>2.7587534339999999</v>
      </c>
      <c r="AF54">
        <f>AE54+AE57</f>
        <v>5.1183144110000001</v>
      </c>
      <c r="AG54">
        <f>AE54-AE57</f>
        <v>0.39919245699999983</v>
      </c>
    </row>
    <row r="55" spans="1:33" x14ac:dyDescent="0.35">
      <c r="A55" s="1">
        <v>1.945098132</v>
      </c>
      <c r="B55">
        <f>A55+A59</f>
        <v>2.0055133597800001</v>
      </c>
      <c r="C55">
        <f>A55-A59</f>
        <v>1.88468290422</v>
      </c>
      <c r="D55" s="1">
        <v>1.820799828</v>
      </c>
      <c r="E55">
        <f>D55+D59</f>
        <v>1.9991299259999999</v>
      </c>
      <c r="F55">
        <f>D55-D59</f>
        <v>1.64246973</v>
      </c>
      <c r="G55" s="1">
        <v>1.9666092690000001</v>
      </c>
      <c r="H55">
        <f>G55+G59</f>
        <v>2.1375295698999999</v>
      </c>
      <c r="I55">
        <f>G55-G59</f>
        <v>1.7956889681000001</v>
      </c>
      <c r="J55" s="1">
        <v>1.9065103379999999</v>
      </c>
      <c r="K55">
        <f>J55+J59</f>
        <v>1.9980849198099999</v>
      </c>
      <c r="L55">
        <f>J55-J59</f>
        <v>1.8149357561899999</v>
      </c>
      <c r="M55" s="1">
        <v>2.2835018630000001</v>
      </c>
      <c r="N55">
        <f>M55+M59</f>
        <v>2.5875297434000002</v>
      </c>
      <c r="O55">
        <f>M55-M59</f>
        <v>1.9794739826000001</v>
      </c>
      <c r="P55" s="1">
        <v>2.097764969</v>
      </c>
      <c r="Q55">
        <f>P55+P59</f>
        <v>2.2019838528999998</v>
      </c>
      <c r="R55">
        <f>P55-P59</f>
        <v>1.9935460851</v>
      </c>
      <c r="S55" s="1">
        <v>1.6573758089999999</v>
      </c>
      <c r="T55">
        <f>S55+S59</f>
        <v>1.75496805228</v>
      </c>
      <c r="U55">
        <f>S55-S59</f>
        <v>1.5597835657199999</v>
      </c>
      <c r="V55" s="1">
        <v>1.99659586</v>
      </c>
      <c r="W55">
        <f>V55+V59</f>
        <v>2.3226727616999998</v>
      </c>
      <c r="X55">
        <f>V55-V59</f>
        <v>1.6705189583</v>
      </c>
      <c r="Y55" s="1">
        <v>1.908144955</v>
      </c>
      <c r="Z55">
        <f>Y55+Y59</f>
        <v>2.2180561571999999</v>
      </c>
      <c r="AA55">
        <f>Y55-Y59</f>
        <v>1.5982337528000001</v>
      </c>
      <c r="AB55" s="1">
        <v>1.7164365049999999</v>
      </c>
      <c r="AC55">
        <f>AB55+AB59</f>
        <v>2.0300399058999998</v>
      </c>
      <c r="AD55">
        <f>AB55-AB59</f>
        <v>1.4028331041</v>
      </c>
      <c r="AE55" s="1">
        <v>2.3514337539999999</v>
      </c>
      <c r="AF55">
        <f>AE55+AE59</f>
        <v>3.9032935899999996</v>
      </c>
      <c r="AG55">
        <f>AE55-AE59</f>
        <v>0.79957391799999988</v>
      </c>
    </row>
    <row r="56" spans="1:33" x14ac:dyDescent="0.35">
      <c r="A56" s="1">
        <v>2.1081521879999999E-2</v>
      </c>
      <c r="B56" t="str">
        <f>IF(AND(B52&lt;=B2,B52&gt;=C2),"CASE 2",IF(AND(C52&lt;=B2,C52&gt;=C2),"CASE 1",IF(AND(B52&gt;=B2,C52&lt;=C2),"CASE 3",IF(AND(B52&lt;=B2,C52&gt;=C2),"CASE 4",FALSE()))))</f>
        <v>CASE 2</v>
      </c>
      <c r="D56" s="1">
        <v>0.1958941937</v>
      </c>
      <c r="E56" t="str">
        <f>IF(AND(E52&lt;=E2,E52&gt;=F2),"CASE 2",IF(AND(F52&lt;=E2,F52&gt;=F2),"CASE 1",IF(AND(E52&gt;=E2,F52&lt;=F2),"CASE 3",IF(AND(E52&lt;=E2,F52&gt;=F2),"CASE 4",FALSE()))))</f>
        <v>CASE 2</v>
      </c>
      <c r="G56" s="1">
        <v>3.737149017E-2</v>
      </c>
      <c r="H56" t="str">
        <f>IF(AND(H52&lt;=H2,H52&gt;=I2),"CASE 2",IF(AND(I52&lt;=H2,I52&gt;=I2),"CASE 1",IF(AND(H52&gt;=H2,I52&lt;=I2),"CASE 3",IF(AND(H52&lt;=H2,I52&gt;=I2),"CASE 4",FALSE()))))</f>
        <v>CASE 3</v>
      </c>
      <c r="J56" s="1">
        <v>5.633681234E-2</v>
      </c>
      <c r="K56" t="str">
        <f>IF(AND(K52&lt;=K2,K52&gt;=L2),"CASE 2",IF(AND(L52&lt;=K2,L52&gt;=L2),"CASE 1",IF(AND(K52&gt;=K2,L52&lt;=L2),"CASE 3",IF(AND(K52&lt;=K2,L52&gt;=L2),"CASE 4",FALSE()))))</f>
        <v>CASE 2</v>
      </c>
      <c r="M56" s="1">
        <v>0.1872744224</v>
      </c>
      <c r="N56" t="str">
        <f>IF(AND(N52&lt;=N2,N52&gt;=O2),"CASE 2",IF(AND(O52&lt;=N2,O52&gt;=O2),"CASE 1",IF(AND(N52&gt;=N2,O52&lt;=O2),"CASE 3",IF(AND(N52&lt;=N2,O52&gt;=O2),"CASE 4",FALSE()))))</f>
        <v>CASE 3</v>
      </c>
      <c r="P56" s="1">
        <v>6.3039100690000002E-2</v>
      </c>
      <c r="Q56" t="str">
        <f>IF(AND(Q52&lt;=Q2,Q52&gt;=R2),"CASE 2",IF(AND(R52&lt;=Q2,R52&gt;=R2),"CASE 1",IF(AND(Q52&gt;=Q2,R52&lt;=R2),"CASE 3",IF(AND(Q52&lt;=Q2,R52&gt;=R2),"CASE 4",FALSE()))))</f>
        <v>CASE 1</v>
      </c>
      <c r="S56" s="1">
        <v>3.9793156070000002E-2</v>
      </c>
      <c r="T56" t="str">
        <f>IF(AND(T52&lt;=T2,T52&gt;=U2),"CASE 2",IF(AND(U52&lt;=T2,U52&gt;=U2),"CASE 1",IF(AND(T52&gt;=T2,U52&lt;=U2),"CASE 3",IF(AND(T52&lt;=T2,U52&gt;=U2),"CASE 4",FALSE()))))</f>
        <v>CASE 2</v>
      </c>
      <c r="V56" s="1">
        <v>9.2661776550000005E-2</v>
      </c>
      <c r="W56" t="str">
        <f>IF(AND(W52&lt;=W2,W52&gt;=X2),"CASE 2",IF(AND(X52&lt;=W2,X52&gt;=X2),"CASE 1",IF(AND(W52&gt;=W2,X52&lt;=X2),"CASE 3",IF(AND(W52&lt;=W2,X52&gt;=X2),"CASE 4",FALSE()))))</f>
        <v>CASE 3</v>
      </c>
      <c r="Y56" s="1">
        <v>9.9094288099999997E-2</v>
      </c>
      <c r="Z56" t="str">
        <f>IF(AND(Z52&lt;=Z2,Z52&gt;=AA2),"CASE 2",IF(AND(AA52&lt;=Z2,AA52&gt;=AA2),"CASE 1",IF(AND(Z52&gt;=Z2,AA52&lt;=AA2),"CASE 3",IF(AND(Z52&lt;=Z2,AA52&gt;=AA2),"CASE 4",FALSE()))))</f>
        <v>CASE 3</v>
      </c>
      <c r="AB56" s="1">
        <v>0.1522780853</v>
      </c>
      <c r="AC56" t="str">
        <f>IF(AND(AC52&lt;=AC2,AC52&gt;=AD2),"CASE 2",IF(AND(AD52&lt;=AC2,AD52&gt;=AD2),"CASE 1",IF(AND(AC52&gt;=AC2,AD52&lt;=AD2),"CASE 3",IF(AND(AC52&lt;=AC2,AD52&gt;=AD2),"CASE 4",FALSE()))))</f>
        <v>CASE 1</v>
      </c>
      <c r="AE56" s="1">
        <v>0.29119006629999999</v>
      </c>
      <c r="AF56" t="b">
        <f>IF(AND(AF52&lt;=AF2,AF52&gt;=AG2),"CASE 2",IF(AND(AG52&lt;=AF2,AG52&gt;=AG2),"CASE 1",IF(AND(AF52&gt;=AF2,AG52&lt;=AG2),"CASE 3",IF(AND(AF52&lt;=AF2,AG52&gt;=AG2),"CASE 4",FALSE()))))</f>
        <v>0</v>
      </c>
    </row>
    <row r="57" spans="1:33" x14ac:dyDescent="0.35">
      <c r="A57" s="1">
        <v>0.16115814549999999</v>
      </c>
      <c r="B57" t="str">
        <f t="shared" ref="B57:B59" si="77">IF(AND(B53&lt;=B3,B53&gt;=C3),"CASE 2",IF(AND(C53&lt;=B3,C53&gt;=C3),"CASE 1",IF(AND(B53&gt;=B3,C53&lt;=C3),"CASE 3",IF(AND(B53&lt;=B3,C53&gt;=C3),"CASE 4",FALSE()))))</f>
        <v>CASE 2</v>
      </c>
      <c r="D57" s="1">
        <v>0.4035171514</v>
      </c>
      <c r="E57" t="str">
        <f t="shared" ref="E57:E59" si="78">IF(AND(E53&lt;=E3,E53&gt;=F3),"CASE 2",IF(AND(F53&lt;=E3,F53&gt;=F3),"CASE 1",IF(AND(E53&gt;=E3,F53&lt;=F3),"CASE 3",IF(AND(E53&lt;=E3,F53&gt;=F3),"CASE 4",FALSE()))))</f>
        <v>CASE 3</v>
      </c>
      <c r="G57" s="1">
        <v>0.29530117080000001</v>
      </c>
      <c r="H57" t="str">
        <f t="shared" ref="H57:H59" si="79">IF(AND(H53&lt;=H3,H53&gt;=I3),"CASE 2",IF(AND(I53&lt;=H3,I53&gt;=I3),"CASE 1",IF(AND(H53&gt;=H3,I53&lt;=I3),"CASE 3",IF(AND(H53&lt;=H3,I53&gt;=I3),"CASE 4",FALSE()))))</f>
        <v>CASE 3</v>
      </c>
      <c r="J57" s="1">
        <v>0.224664855</v>
      </c>
      <c r="K57" t="str">
        <f t="shared" ref="K57:K59" si="80">IF(AND(K53&lt;=K3,K53&gt;=L3),"CASE 2",IF(AND(L53&lt;=K3,L53&gt;=L3),"CASE 1",IF(AND(K53&gt;=K3,L53&lt;=L3),"CASE 3",IF(AND(K53&lt;=K3,L53&gt;=L3),"CASE 4",FALSE()))))</f>
        <v>CASE 2</v>
      </c>
      <c r="M57" s="1">
        <v>0.78977622049999996</v>
      </c>
      <c r="N57" t="str">
        <f t="shared" ref="N57:N59" si="81">IF(AND(N53&lt;=N3,N53&gt;=O3),"CASE 2",IF(AND(O53&lt;=N3,O53&gt;=O3),"CASE 1",IF(AND(N53&gt;=N3,O53&lt;=O3),"CASE 3",IF(AND(N53&lt;=N3,O53&gt;=O3),"CASE 4",FALSE()))))</f>
        <v>CASE 1</v>
      </c>
      <c r="P57" s="1">
        <v>0.20849212880000001</v>
      </c>
      <c r="Q57" t="str">
        <f t="shared" ref="Q57:Q59" si="82">IF(AND(Q53&lt;=Q3,Q53&gt;=R3),"CASE 2",IF(AND(R53&lt;=Q3,R53&gt;=R3),"CASE 1",IF(AND(Q53&gt;=Q3,R53&lt;=R3),"CASE 3",IF(AND(Q53&lt;=Q3,R53&gt;=R3),"CASE 4",FALSE()))))</f>
        <v>CASE 1</v>
      </c>
      <c r="S57" s="1">
        <v>0.2176450234</v>
      </c>
      <c r="T57" t="str">
        <f t="shared" ref="T57:T59" si="83">IF(AND(T53&lt;=T3,T53&gt;=U3),"CASE 2",IF(AND(U53&lt;=T3,U53&gt;=U3),"CASE 1",IF(AND(T53&gt;=T3,U53&lt;=U3),"CASE 3",IF(AND(T53&lt;=T3,U53&gt;=U3),"CASE 4",FALSE()))))</f>
        <v>CASE 3</v>
      </c>
      <c r="V57" s="1">
        <v>0.76465929249999998</v>
      </c>
      <c r="W57" t="str">
        <f t="shared" ref="W57:W59" si="84">IF(AND(W53&lt;=W3,W53&gt;=X3),"CASE 2",IF(AND(X53&lt;=W3,X53&gt;=X3),"CASE 1",IF(AND(W53&gt;=W3,X53&lt;=X3),"CASE 3",IF(AND(W53&lt;=W3,X53&gt;=X3),"CASE 4",FALSE()))))</f>
        <v>CASE 3</v>
      </c>
      <c r="Y57" s="1">
        <v>0.87409705260000004</v>
      </c>
      <c r="Z57" t="str">
        <f t="shared" ref="Z57:Z59" si="85">IF(AND(Z53&lt;=Z3,Z53&gt;=AA3),"CASE 2",IF(AND(AA53&lt;=Z3,AA53&gt;=AA3),"CASE 1",IF(AND(Z53&gt;=Z3,AA53&lt;=AA3),"CASE 3",IF(AND(Z53&lt;=Z3,AA53&gt;=AA3),"CASE 4",FALSE()))))</f>
        <v>CASE 1</v>
      </c>
      <c r="AB57" s="1">
        <v>0.6020987592</v>
      </c>
      <c r="AC57" t="str">
        <f t="shared" ref="AC57:AC59" si="86">IF(AND(AC53&lt;=AC3,AC53&gt;=AD3),"CASE 2",IF(AND(AD53&lt;=AC3,AD53&gt;=AD3),"CASE 1",IF(AND(AC53&gt;=AC3,AD53&lt;=AD3),"CASE 3",IF(AND(AC53&lt;=AC3,AD53&gt;=AD3),"CASE 4",FALSE()))))</f>
        <v>CASE 1</v>
      </c>
      <c r="AE57" s="1">
        <v>2.3595609770000001</v>
      </c>
      <c r="AF57" t="b">
        <f t="shared" ref="AF57:AF59" si="87">IF(AND(AF53&lt;=AF3,AF53&gt;=AG3),"CASE 2",IF(AND(AG53&lt;=AF3,AG53&gt;=AG3),"CASE 1",IF(AND(AF53&gt;=AF3,AG53&lt;=AG3),"CASE 3",IF(AND(AF53&lt;=AF3,AG53&gt;=AG3),"CASE 4",FALSE()))))</f>
        <v>0</v>
      </c>
    </row>
    <row r="58" spans="1:33" x14ac:dyDescent="0.35">
      <c r="A58" s="1">
        <v>9.0118935819999996E-2</v>
      </c>
      <c r="B58" t="str">
        <f t="shared" si="77"/>
        <v>CASE 3</v>
      </c>
      <c r="D58" s="1">
        <v>0.56464468469999995</v>
      </c>
      <c r="E58" t="str">
        <f t="shared" si="78"/>
        <v>CASE 2</v>
      </c>
      <c r="G58" s="1">
        <v>8.5076275480000005E-2</v>
      </c>
      <c r="H58" t="str">
        <f t="shared" si="79"/>
        <v>CASE 3</v>
      </c>
      <c r="J58" s="1">
        <v>0.20961997700000001</v>
      </c>
      <c r="K58" t="str">
        <f t="shared" si="80"/>
        <v>CASE 2</v>
      </c>
      <c r="M58" s="1">
        <v>1.0711018809999999</v>
      </c>
      <c r="N58" t="str">
        <f t="shared" si="81"/>
        <v>CASE 3</v>
      </c>
      <c r="P58" s="1">
        <v>0.27109459699999999</v>
      </c>
      <c r="Q58" t="str">
        <f t="shared" si="82"/>
        <v>CASE 1</v>
      </c>
      <c r="S58" s="1">
        <v>0.1480210142</v>
      </c>
      <c r="T58" t="str">
        <f t="shared" si="83"/>
        <v>CASE 3</v>
      </c>
      <c r="V58" s="1">
        <v>0.25284954720000002</v>
      </c>
      <c r="W58" t="str">
        <f t="shared" si="84"/>
        <v>CASE 3</v>
      </c>
      <c r="Y58" s="1">
        <v>0.39374268600000001</v>
      </c>
      <c r="Z58" t="str">
        <f t="shared" si="85"/>
        <v>CASE 3</v>
      </c>
      <c r="AB58" s="1">
        <v>0.951389237</v>
      </c>
      <c r="AC58" t="str">
        <f t="shared" si="86"/>
        <v>CASE 1</v>
      </c>
      <c r="AE58" s="1">
        <v>0.71325976540000002</v>
      </c>
      <c r="AF58" t="str">
        <f t="shared" si="87"/>
        <v>CASE 3</v>
      </c>
    </row>
    <row r="59" spans="1:33" x14ac:dyDescent="0.35">
      <c r="A59" s="1">
        <v>6.0415227779999997E-2</v>
      </c>
      <c r="B59" t="str">
        <f t="shared" si="77"/>
        <v>CASE 1</v>
      </c>
      <c r="D59" s="1">
        <v>0.17833009799999999</v>
      </c>
      <c r="E59" t="str">
        <f t="shared" si="78"/>
        <v>CASE 3</v>
      </c>
      <c r="G59" s="1">
        <v>0.17092030089999999</v>
      </c>
      <c r="H59" t="str">
        <f t="shared" si="79"/>
        <v>CASE 3</v>
      </c>
      <c r="J59" s="1">
        <v>9.157458181E-2</v>
      </c>
      <c r="K59" t="str">
        <f t="shared" si="80"/>
        <v>CASE 3</v>
      </c>
      <c r="M59" s="1">
        <v>0.30402788040000001</v>
      </c>
      <c r="N59" t="str">
        <f t="shared" si="81"/>
        <v>CASE 3</v>
      </c>
      <c r="P59" s="1">
        <v>0.1042188839</v>
      </c>
      <c r="Q59" t="str">
        <f t="shared" si="82"/>
        <v>CASE 3</v>
      </c>
      <c r="S59" s="1">
        <v>9.7592243280000004E-2</v>
      </c>
      <c r="T59" t="str">
        <f t="shared" si="83"/>
        <v>CASE 3</v>
      </c>
      <c r="V59" s="1">
        <v>0.32607690169999998</v>
      </c>
      <c r="W59" t="str">
        <f t="shared" si="84"/>
        <v>CASE 3</v>
      </c>
      <c r="Y59" s="1">
        <v>0.30991120220000001</v>
      </c>
      <c r="Z59" t="str">
        <f t="shared" si="85"/>
        <v>CASE 3</v>
      </c>
      <c r="AB59" s="1">
        <v>0.3136034009</v>
      </c>
      <c r="AC59" t="str">
        <f t="shared" si="86"/>
        <v>CASE 3</v>
      </c>
      <c r="AE59" s="1">
        <v>1.551859836</v>
      </c>
      <c r="AF59" t="str">
        <f t="shared" si="87"/>
        <v>CASE 3</v>
      </c>
    </row>
  </sheetData>
  <conditionalFormatting sqref="A1:XFD1048576">
    <cfRule type="containsText" dxfId="1" priority="1" operator="containsText" text="CASE">
      <formula>NOT(ISERROR(SEARCH("CASE",A1)))</formula>
    </cfRule>
    <cfRule type="containsText" dxfId="0" priority="2" operator="containsText" text="FALSE">
      <formula>NOT(ISERROR(SEARCH("FALSE",A1)))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Checking AGAIN</vt:lpstr>
      <vt:lpstr>Checking against RC 11-37-pf</vt:lpstr>
      <vt:lpstr>11-molecules-37-pf-masers-absor</vt:lpstr>
      <vt:lpstr>Checking against RC 11-no-pf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Sarver</dc:creator>
  <cp:lastModifiedBy>Collette Sarver</cp:lastModifiedBy>
  <dcterms:created xsi:type="dcterms:W3CDTF">2026-04-26T03:10:22Z</dcterms:created>
  <dcterms:modified xsi:type="dcterms:W3CDTF">2026-05-03T01:20:14Z</dcterms:modified>
</cp:coreProperties>
</file>