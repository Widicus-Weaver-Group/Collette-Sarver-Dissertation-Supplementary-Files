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 Tracker" sheetId="1" r:id="rId5"/>
    <sheet state="visible" name="Analysis" sheetId="2" r:id="rId6"/>
    <sheet state="visible" name="Count H2O Molecules" sheetId="3" r:id="rId7"/>
    <sheet state="visible" name="Hydronium Umbrella Mode (cm-1)" sheetId="4" r:id="rId8"/>
    <sheet state="visible" name="Charge and Multiplicity" sheetId="5" r:id="rId9"/>
    <sheet state="visible" name="21 waters" sheetId="6" r:id="rId10"/>
    <sheet state="visible" name="37 waters" sheetId="7" r:id="rId11"/>
    <sheet state="visible" name="24w-MB" sheetId="8" r:id="rId12"/>
    <sheet state="visible" name="VEA and EA Plots" sheetId="9" r:id="rId13"/>
  </sheets>
  <definedNames>
    <definedName hidden="1" localSheetId="1" name="_xlnm._FilterDatabase">Analysis!$A$1:$H$63</definedName>
    <definedName hidden="1" localSheetId="2" name="_xlnm._FilterDatabase">'Count H2O Molecules'!$A$1:$F$61</definedName>
    <definedName hidden="1" localSheetId="3" name="_xlnm._FilterDatabase">'Hydronium Umbrella Mode (cm-1)'!$A$1:$E$55</definedName>
  </definedNames>
  <calcPr/>
</workbook>
</file>

<file path=xl/sharedStrings.xml><?xml version="1.0" encoding="utf-8"?>
<sst xmlns="http://schemas.openxmlformats.org/spreadsheetml/2006/main" count="742" uniqueCount="227">
  <si>
    <t>Task</t>
  </si>
  <si>
    <t>Owner</t>
  </si>
  <si>
    <t>Status</t>
  </si>
  <si>
    <t>Name</t>
  </si>
  <si>
    <t>Number of Waters</t>
  </si>
  <si>
    <t>Stage</t>
  </si>
  <si>
    <t>Step</t>
  </si>
  <si>
    <t>Column 3</t>
  </si>
  <si>
    <t>Due date</t>
  </si>
  <si>
    <t>EA</t>
  </si>
  <si>
    <t>Counted Waters</t>
  </si>
  <si>
    <t>Notes</t>
  </si>
  <si>
    <t>Column 2</t>
  </si>
  <si>
    <t>Value (eV)</t>
  </si>
  <si>
    <t>6: Add e- to 5.</t>
  </si>
  <si>
    <t>Neutralized</t>
  </si>
  <si>
    <t xml:space="preserve">Count Water Molecules </t>
  </si>
  <si>
    <t>Mulliken Charge</t>
  </si>
  <si>
    <t>Umbrella Mode (cm-1)</t>
  </si>
  <si>
    <t>Completed</t>
  </si>
  <si>
    <t>Column 1</t>
  </si>
  <si>
    <t>Collette</t>
  </si>
  <si>
    <t>Alexandra</t>
  </si>
  <si>
    <t>1 (H2O + H3O+)</t>
  </si>
  <si>
    <t>21w + H3O+ (+1, singlet)</t>
  </si>
  <si>
    <t>Add e- to hydronium-water cluster: does not neutralize the H3O+
Introduce OH + e + H3O+ + 21 waters: cascading proton transfers yields a cluster of 24 waters
Adding an electron to neutral cluster of 21 waters results in some delocalization of charge, but one water has a net charge of -0.607.
All steps completed.</t>
  </si>
  <si>
    <t>1 (1+2)</t>
  </si>
  <si>
    <t>VEA</t>
  </si>
  <si>
    <t>2 (H2O + H3O+ + e)</t>
  </si>
  <si>
    <t>21w + H3O+ + e- (neutral, doublet)</t>
  </si>
  <si>
    <t>All steps completed.</t>
  </si>
  <si>
    <t>3 (H2O + H3O+ + OH-)</t>
  </si>
  <si>
    <t>Anna</t>
  </si>
  <si>
    <t>20w + H3O+ OH (+1, doublet)</t>
  </si>
  <si>
    <t>Yeah, I think we did delete one proton from a water to get the OH, this should be one less than your cluster size.</t>
  </si>
  <si>
    <t>2 (3+4)</t>
  </si>
  <si>
    <t>4 (H2O + H3O+ + OH- + e))</t>
  </si>
  <si>
    <t>22 waters (neutral, singlet)</t>
  </si>
  <si>
    <t>22w</t>
  </si>
  <si>
    <t>Michelle</t>
  </si>
  <si>
    <t>Sequential proton trasnfer, all waters by the end</t>
  </si>
  <si>
    <t>Running Frequncy Calculations, but all opt have finished</t>
  </si>
  <si>
    <t>5 (H2O)</t>
  </si>
  <si>
    <t>21 waters (neutral, singlet)</t>
  </si>
  <si>
    <t>6 (H2O + e)</t>
  </si>
  <si>
    <t>Dave</t>
  </si>
  <si>
    <t>21 waters (-1, doublet)</t>
  </si>
  <si>
    <t>3 (5+6)</t>
  </si>
  <si>
    <t>e- does not neutralize H3O+ in step 2 (VEAe=2.63 eV; EA0=3.10 eV); electron adds to OH in step 4, OH- does not neutralize H3O+ (VEAe=4.7 eV; EA0=7.7 eV);  free electron added in step 6 (VEAe=0.4 eV; EA0=0.5 eV) - charge is distributed among a number of H2Os</t>
  </si>
  <si>
    <t>22 waters and one hydronium</t>
  </si>
  <si>
    <r>
      <rPr/>
      <t xml:space="preserve">I am using </t>
    </r>
    <r>
      <rPr>
        <color rgb="FF1155CC"/>
        <u/>
      </rPr>
      <t xml:space="preserve">16H2O-1.xyz
</t>
    </r>
    <r>
      <rPr/>
      <t>Step 5 also simultaneously running</t>
    </r>
  </si>
  <si>
    <t>21 waters one hydronium one OH</t>
  </si>
  <si>
    <t>22 waters</t>
  </si>
  <si>
    <t>I think the extra proton from the H3O+ moved over to the OH because I don't see either of those in my final geometry</t>
  </si>
  <si>
    <t>I'm using 37H2O.
All steps completed</t>
  </si>
  <si>
    <t>UPDATED 22 waters</t>
  </si>
  <si>
    <t>initial run incorrectly had 23 waters; calculation rerun.</t>
  </si>
  <si>
    <t>incorrect number of waters run for AM</t>
  </si>
  <si>
    <t>Using 35_2, step 5 opt completed, step 6 is still running</t>
  </si>
  <si>
    <t>1: Refine Hydronium-Water Cluster</t>
  </si>
  <si>
    <t>scaled by 0.9824</t>
  </si>
  <si>
    <t>Not started</t>
  </si>
  <si>
    <t>31 water + 1 hydronium</t>
  </si>
  <si>
    <t>Using 32_3 as my starting cluster. Adding proton at point 0,0,0. So now have 31 waters and 1 hydronium</t>
  </si>
  <si>
    <t>In progress</t>
  </si>
  <si>
    <t>24w + H3O+</t>
  </si>
  <si>
    <t>23w + H3O+ + OH-</t>
  </si>
  <si>
    <t>1. Adding e– to H3O+ – asw (what happens?)</t>
  </si>
  <si>
    <t>25 w</t>
  </si>
  <si>
    <t>First step: 1 1</t>
  </si>
  <si>
    <t>Adding electron: 0 2</t>
  </si>
  <si>
    <t>2. Adding e– to H3O+ – OH* – asw (different outcome?)</t>
  </si>
  <si>
    <t>First step: 1 2</t>
  </si>
  <si>
    <t>Adding electron: 0 1</t>
  </si>
  <si>
    <t>3. Adding e– to asw (baseline: solvated e –)</t>
  </si>
  <si>
    <t>First step: 0 1</t>
  </si>
  <si>
    <t>Adding electron: -1 2</t>
  </si>
  <si>
    <t>25 waters, rerun to 24 w</t>
  </si>
  <si>
    <t>25 waters, rerun to to 24 w</t>
  </si>
  <si>
    <t>Energy Hartree</t>
  </si>
  <si>
    <t>ZPE Correction</t>
  </si>
  <si>
    <t>ZPE + EE</t>
  </si>
  <si>
    <t>1st step not relaxed w/ e-</t>
  </si>
  <si>
    <t>Mulkien Charges</t>
  </si>
  <si>
    <t>1 Hartree</t>
  </si>
  <si>
    <t>eV</t>
  </si>
  <si>
    <t>File</t>
  </si>
  <si>
    <t>ZPE (kcal/mol)</t>
  </si>
  <si>
    <t>ZPE eV</t>
  </si>
  <si>
    <t>Initial Hartees (vertical)</t>
  </si>
  <si>
    <t>Optimized Hartees</t>
  </si>
  <si>
    <t>hydronium-21w</t>
  </si>
  <si>
    <t>-</t>
  </si>
  <si>
    <t>(0.163+0.302-0.605)= -0.140</t>
  </si>
  <si>
    <t>Delta ZPE</t>
  </si>
  <si>
    <t>1_freq</t>
  </si>
  <si>
    <t>1_opt</t>
  </si>
  <si>
    <t>hydronium-21w-e</t>
  </si>
  <si>
    <t>(0.144+0.203-0.387)= -0.040</t>
  </si>
  <si>
    <t>2_freq</t>
  </si>
  <si>
    <t>2_opt</t>
  </si>
  <si>
    <t>w/out correction</t>
  </si>
  <si>
    <t>31, 32, 33</t>
  </si>
  <si>
    <t>(0.228+0.215-0.373)= 0.070</t>
  </si>
  <si>
    <t>Adiabatic</t>
  </si>
  <si>
    <t>3_freq</t>
  </si>
  <si>
    <t>3_opt</t>
  </si>
  <si>
    <t>Adiabatic Energy</t>
  </si>
  <si>
    <t>34, 35, 36</t>
  </si>
  <si>
    <t>(0.257+0.218-0.447)= 0.028</t>
  </si>
  <si>
    <t>4_freq</t>
  </si>
  <si>
    <t>4_opt</t>
  </si>
  <si>
    <t>(0.307+0.248-0.509)= 0.046</t>
  </si>
  <si>
    <t>1 eV</t>
  </si>
  <si>
    <t>kcal/mol</t>
  </si>
  <si>
    <t>5_freq</t>
  </si>
  <si>
    <t>5_opt</t>
  </si>
  <si>
    <t>(0.249+0.153-0.557)= -0.155</t>
  </si>
  <si>
    <t>6_freq</t>
  </si>
  <si>
    <t>6_opt</t>
  </si>
  <si>
    <t>28, 29, 30</t>
  </si>
  <si>
    <t>(0.206+0.165-0.506)= -0.135</t>
  </si>
  <si>
    <t>22, 23, 24</t>
  </si>
  <si>
    <t>(0.161+0.217-0.580)= -0.130</t>
  </si>
  <si>
    <t>Step1 and 2</t>
  </si>
  <si>
    <t>Hartees</t>
  </si>
  <si>
    <t>Convert to eV</t>
  </si>
  <si>
    <t>40, 41, 42</t>
  </si>
  <si>
    <t>(0.159+0.254-0.562)= -0.149</t>
  </si>
  <si>
    <t>(0.230+0.241-0.458)= -0.014</t>
  </si>
  <si>
    <t>Delta E (Anion, initial-Neutral)</t>
  </si>
  <si>
    <t>46, 47, 48</t>
  </si>
  <si>
    <t>(0.205+0.146-0.516)= -0.165</t>
  </si>
  <si>
    <t>Add ZPE correction</t>
  </si>
  <si>
    <t>vertical</t>
  </si>
  <si>
    <t>25, 26, 27</t>
  </si>
  <si>
    <t>(0.232+0.277-0.432)= 0.077</t>
  </si>
  <si>
    <t>AEA (Anion, optimized - Neutral)</t>
  </si>
  <si>
    <t>43, 44, 45</t>
  </si>
  <si>
    <t>(0.185+0.205-0.324)= 0.066</t>
  </si>
  <si>
    <t>14, 15, 16</t>
  </si>
  <si>
    <t>(0.179+0.213-0.366)= 0.026</t>
  </si>
  <si>
    <t>37, 38, 39</t>
  </si>
  <si>
    <t>(0.167+0.145-0.423)= -0.111</t>
  </si>
  <si>
    <t>35w + H3O+</t>
  </si>
  <si>
    <t>49, 50, 51</t>
  </si>
  <si>
    <t>(0.232+0.256-0.430)= 0.058</t>
  </si>
  <si>
    <t>Step3 and 4</t>
  </si>
  <si>
    <t>58, 59, 60</t>
  </si>
  <si>
    <t>(0.179+0.174-0.340)= 0.013</t>
  </si>
  <si>
    <t xml:space="preserve">Delta ZPE (Anion-Neutral) </t>
  </si>
  <si>
    <t>18, 19, 20</t>
  </si>
  <si>
    <t>(0.148+0.214-0.352)= 0.010</t>
  </si>
  <si>
    <t>62, 61, 63</t>
  </si>
  <si>
    <t>(0.162+0.246-0.488)= -0.08</t>
  </si>
  <si>
    <t>35w</t>
  </si>
  <si>
    <t>52, 53, 54</t>
  </si>
  <si>
    <t>(0.194+0.187-0.318)= 0.063</t>
  </si>
  <si>
    <t>55, 56, 57</t>
  </si>
  <si>
    <t>(0.154+0.218-0.432)= -0.060</t>
  </si>
  <si>
    <t>hydronium-21w-OH</t>
  </si>
  <si>
    <t>hydronium-21w-OH-e</t>
  </si>
  <si>
    <t>37w + H3O+ (+1, singlet)</t>
  </si>
  <si>
    <t>Step5 and 6</t>
  </si>
  <si>
    <t xml:space="preserve">37w + H3O+ + e- (neutral, doublet) </t>
  </si>
  <si>
    <t>37w (neutral, singlet)</t>
  </si>
  <si>
    <t>37w (-1, doublet)</t>
  </si>
  <si>
    <t>21-w</t>
  </si>
  <si>
    <t>21-w-e</t>
  </si>
  <si>
    <t>0.159+0.258-0.521=-0.104</t>
  </si>
  <si>
    <t>w/out ZPE correction</t>
  </si>
  <si>
    <t>0.161+0.162-0.295=0.028</t>
  </si>
  <si>
    <t>0.205+0.156-0.431=-0.07</t>
  </si>
  <si>
    <t>0.239+0.224-0.397=0.066</t>
  </si>
  <si>
    <t>11, 12, 13</t>
  </si>
  <si>
    <t>0.235+0.297-0.522=0.01</t>
  </si>
  <si>
    <t>0.222+0.155-0.493=-0.116</t>
  </si>
  <si>
    <t>0.171+0.164-0.265=0.07</t>
  </si>
  <si>
    <t>0.134+0.187-0.928=-0.607</t>
  </si>
  <si>
    <t>0.169+0.228-0.365=0.032</t>
  </si>
  <si>
    <t>0.246+0.210-0.144=0.312</t>
  </si>
  <si>
    <t>0.183+0.108-0.646=-0.355</t>
  </si>
  <si>
    <t>0.232+0.257-0.632=-0.143</t>
  </si>
  <si>
    <t>0.203+0.168-0.281=0.09</t>
  </si>
  <si>
    <t>0.186+0.220-0.381=0.025</t>
  </si>
  <si>
    <t>15 water 1 hydronium</t>
  </si>
  <si>
    <t>0.138+0.242-0.640=-0.26</t>
  </si>
  <si>
    <t>0.233+0.224-0.115=0.342</t>
  </si>
  <si>
    <t>0.162+0.169-0.186=0.145</t>
  </si>
  <si>
    <t>0.122+0.228-0.341=0.009</t>
  </si>
  <si>
    <t>0.234+0.113-0.797=-0.45</t>
  </si>
  <si>
    <t>0.177+0.184-0.055=0.306</t>
  </si>
  <si>
    <t>16 water</t>
  </si>
  <si>
    <t>0.208+0.132-0.661=-0.321</t>
  </si>
  <si>
    <t>16 water 1 hydronium</t>
  </si>
  <si>
    <t>Energy (Hartrees)</t>
  </si>
  <si>
    <t>hydronium-37w</t>
  </si>
  <si>
    <t>(0.181+0.241-0.432)=</t>
  </si>
  <si>
    <t>UPDATED 16 water</t>
  </si>
  <si>
    <t>initial calculation incorrectly had 17 waters</t>
  </si>
  <si>
    <t>hydronium-37w-e</t>
  </si>
  <si>
    <t>76, 77, 78</t>
  </si>
  <si>
    <t>(0.197+0.186-0.375)=</t>
  </si>
  <si>
    <t>79, 80, 81</t>
  </si>
  <si>
    <t>(0.317+0.224-0.427)=</t>
  </si>
  <si>
    <t>(0.154+0.197-0.719)=</t>
  </si>
  <si>
    <t>109, 111, 112</t>
  </si>
  <si>
    <t>(0.119+0.149-0.587)=</t>
  </si>
  <si>
    <t>(0.183+0.281-0.403)=</t>
  </si>
  <si>
    <t>85, 86, 87</t>
  </si>
  <si>
    <t>(0.189+0.251-0.454)=</t>
  </si>
  <si>
    <t>1, 2, 3</t>
  </si>
  <si>
    <t>(0.187+0.216-0.313)=</t>
  </si>
  <si>
    <t>91, 92, 93</t>
  </si>
  <si>
    <t>(0.136+0.140-0.729)=</t>
  </si>
  <si>
    <t>67, 68, 69</t>
  </si>
  <si>
    <t>(0.180+0.236-0.469)=</t>
  </si>
  <si>
    <t>100, 101, 102</t>
  </si>
  <si>
    <t>(0.214+0.219-0.422)=</t>
  </si>
  <si>
    <t>(0.270+0.191-0.527)=</t>
  </si>
  <si>
    <t>hydronium-37w-OH</t>
  </si>
  <si>
    <t>hydronium-37w-OH-e</t>
  </si>
  <si>
    <t>37-w</t>
  </si>
  <si>
    <t>37-w-e</t>
  </si>
  <si>
    <t>neutral water + e-</t>
  </si>
  <si>
    <t>hydronium + e-</t>
  </si>
  <si>
    <t>Cluster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</si>
</sst>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, d, yy"/>
    <numFmt numFmtId="166" formatCode="m, d, 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9.0"/>
      <color rgb="FF000000"/>
      <name val="Arial"/>
      <scheme val="minor"/>
    </font>
    <font>
      <u/>
      <color rgb="FF0000FF"/>
      <name val="Roboto"/>
    </font>
    <font>
      <sz val="9.0"/>
      <color rgb="FF000000"/>
      <name val="Menlo"/>
    </font>
    <font>
      <sz val="12.0"/>
      <color rgb="FF000000"/>
      <name val="Arial"/>
      <scheme val="minor"/>
    </font>
    <font>
      <b/>
      <sz val="22.0"/>
      <color rgb="FF000000"/>
      <name val="Calibri"/>
    </font>
    <font>
      <b/>
      <sz val="12.0"/>
      <color rgb="FF000000"/>
      <name val="Arial"/>
    </font>
    <font>
      <color theme="1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horizontal="right" readingOrder="0" shrinkToFit="0" vertical="center" wrapText="1"/>
    </xf>
    <xf borderId="0" fillId="2" fontId="3" numFmtId="0" xfId="0" applyAlignment="1" applyFont="1">
      <alignment horizontal="right" readingOrder="0" shrinkToFit="0" vertical="center" wrapText="1"/>
    </xf>
    <xf borderId="0" fillId="0" fontId="4" numFmtId="49" xfId="0" applyAlignment="1" applyFont="1" applyNumberForma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1" fillId="0" fontId="9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3" fillId="0" fontId="9" numFmtId="0" xfId="0" applyAlignment="1" applyBorder="1" applyFont="1">
      <alignment vertical="bottom"/>
    </xf>
    <xf borderId="4" fillId="0" fontId="10" numFmtId="0" xfId="0" applyAlignment="1" applyBorder="1" applyFont="1">
      <alignment readingOrder="0"/>
    </xf>
    <xf borderId="4" fillId="0" fontId="10" numFmtId="165" xfId="0" applyAlignment="1" applyBorder="1" applyFont="1" applyNumberFormat="1">
      <alignment readingOrder="0"/>
    </xf>
    <xf borderId="5" fillId="0" fontId="9" numFmtId="0" xfId="0" applyAlignment="1" applyBorder="1" applyFont="1">
      <alignment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3" fontId="1" numFmtId="0" xfId="0" applyAlignment="1" applyFill="1" applyFont="1">
      <alignment readingOrder="0"/>
    </xf>
    <xf borderId="2" fillId="0" fontId="1" numFmtId="0" xfId="0" applyAlignment="1" applyBorder="1" applyFont="1">
      <alignment readingOrder="0"/>
    </xf>
    <xf borderId="4" fillId="0" fontId="10" numFmtId="166" xfId="0" applyAlignment="1" applyBorder="1" applyFont="1" applyNumberFormat="1">
      <alignment readingOrder="0"/>
    </xf>
    <xf borderId="5" fillId="0" fontId="9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3" fontId="9" numFmtId="0" xfId="0" applyAlignment="1" applyFont="1">
      <alignment horizontal="right" vertical="bottom"/>
    </xf>
    <xf borderId="4" fillId="0" fontId="10" numFmtId="0" xfId="0" applyAlignment="1" applyBorder="1" applyFont="1">
      <alignment horizontal="left" readingOrder="0"/>
    </xf>
    <xf borderId="7" fillId="0" fontId="10" numFmtId="0" xfId="0" applyAlignment="1" applyBorder="1" applyFont="1">
      <alignment readingOrder="0"/>
    </xf>
    <xf borderId="2" fillId="0" fontId="1" numFmtId="0" xfId="0" applyBorder="1" applyFont="1"/>
    <xf borderId="2" fillId="0" fontId="10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8" fillId="0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3" fontId="9" numFmtId="0" xfId="0" applyAlignment="1" applyBorder="1" applyFont="1">
      <alignment horizontal="right" vertical="bottom"/>
    </xf>
    <xf borderId="9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2" fillId="0" fontId="1" numFmtId="165" xfId="0" applyAlignment="1" applyBorder="1" applyFont="1" applyNumberFormat="1">
      <alignment readingOrder="0"/>
    </xf>
    <xf borderId="4" fillId="0" fontId="10" numFmtId="49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0" fillId="4" fontId="1" numFmtId="0" xfId="0" applyAlignment="1" applyFill="1" applyFont="1">
      <alignment readingOrder="0"/>
    </xf>
    <xf borderId="0" fillId="0" fontId="9" numFmtId="0" xfId="0" applyAlignment="1" applyFont="1">
      <alignment horizontal="right" vertical="bottom"/>
    </xf>
    <xf borderId="4" fillId="0" fontId="1" numFmtId="49" xfId="0" applyAlignment="1" applyBorder="1" applyFont="1" applyNumberFormat="1">
      <alignment readingOrder="0"/>
    </xf>
    <xf borderId="4" fillId="0" fontId="1" numFmtId="0" xfId="0" applyBorder="1" applyFont="1"/>
    <xf borderId="9" fillId="0" fontId="1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Count H2O Molecule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Status Tracker-style">
      <tableStyleElement dxfId="4" type="headerRow"/>
      <tableStyleElement dxfId="2" type="firstRowStripe"/>
      <tableStyleElement dxfId="3" type="secondRowStripe"/>
      <tableStyleElement dxfId="5" size="0" type="wholeTable"/>
    </tableStyle>
    <tableStyle count="4" pivot="0" name="Analysi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Hydronium Umbrella Mode (cm-1)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 vs. Cluster Size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'VEA and EA Plots'!$C$2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'VEA and EA Plots'!$A$3:$A$12</c:f>
            </c:numRef>
          </c:xVal>
          <c:yVal>
            <c:numRef>
              <c:f>'VEA and EA Plots'!$C$3:$C$12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413940"/>
        <c:axId val="1702228897"/>
      </c:scatterChart>
      <c:valAx>
        <c:axId val="2824139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Cluster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2228897"/>
      </c:valAx>
      <c:valAx>
        <c:axId val="1702228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24139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VEA vs. Cluster Size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'VEA and EA Plots'!$F$2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'VEA and EA Plots'!$E$3:$E$12</c:f>
            </c:numRef>
          </c:xVal>
          <c:yVal>
            <c:numRef>
              <c:f>'VEA and EA Plots'!$F$3:$F$12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578553"/>
        <c:axId val="1253414708"/>
      </c:scatterChart>
      <c:valAx>
        <c:axId val="10815785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Cluster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3414708"/>
      </c:valAx>
      <c:valAx>
        <c:axId val="1253414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5785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 vs. Cluster Size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'VEA and EA Plots'!$G$2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'VEA and EA Plots'!$E$3:$E$12</c:f>
            </c:numRef>
          </c:xVal>
          <c:yVal>
            <c:numRef>
              <c:f>'VEA and EA Plots'!$G$3:$G$12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329154"/>
        <c:axId val="85788731"/>
      </c:scatterChart>
      <c:valAx>
        <c:axId val="16263291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Cluster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788731"/>
      </c:valAx>
      <c:valAx>
        <c:axId val="85788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63291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VEA vs. Cluster Size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'VEA and EA Plots'!$B$2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'VEA and EA Plots'!$A$3:$A$12</c:f>
            </c:numRef>
          </c:xVal>
          <c:yVal>
            <c:numRef>
              <c:f>'VEA and EA Plots'!$B$3:$B$12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600724"/>
        <c:axId val="1920207215"/>
      </c:scatterChart>
      <c:valAx>
        <c:axId val="6426007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Cluster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0207215"/>
      </c:valAx>
      <c:valAx>
        <c:axId val="1920207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26007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34</xdr:row>
      <xdr:rowOff>190500</xdr:rowOff>
    </xdr:from>
    <xdr:ext cx="4114800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5</xdr:row>
      <xdr:rowOff>133350</xdr:rowOff>
    </xdr:from>
    <xdr:ext cx="4257675" cy="33623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51</xdr:row>
      <xdr:rowOff>0</xdr:rowOff>
    </xdr:from>
    <xdr:ext cx="4876800" cy="5038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5</xdr:row>
      <xdr:rowOff>152400</xdr:rowOff>
    </xdr:from>
    <xdr:ext cx="4876800" cy="44958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36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828675</xdr:colOff>
      <xdr:row>17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828675</xdr:colOff>
      <xdr:row>36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171450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Hydronium_Status" name="Hydronium_Status" id="2">
  <tableColumns count="6">
    <tableColumn name="Task" id="1"/>
    <tableColumn name="Status" id="2"/>
    <tableColumn name="Owner" id="3"/>
    <tableColumn name="Stage" id="4"/>
    <tableColumn name="Due date" id="5"/>
    <tableColumn name="Notes" id="6"/>
  </tableColumns>
  <tableStyleInfo name="Status Tracker-style" showColumnStripes="0" showFirstColumn="1" showLastColumn="1" showRowStripes="1"/>
</table>
</file>

<file path=xl/tables/table2.xml><?xml version="1.0" encoding="utf-8"?>
<table xmlns="http://schemas.openxmlformats.org/spreadsheetml/2006/main" ref="A1:H63" displayName="Table1" name="Table1" id="1">
  <autoFilter ref="$A$1:$H$63">
    <filterColumn colId="2">
      <filters>
        <filter val="1 (1+2)"/>
      </filters>
    </filterColumn>
  </autoFilter>
  <tableColumns count="8">
    <tableColumn name="Owner" id="1"/>
    <tableColumn name="Number of Waters" id="2"/>
    <tableColumn name="Step" id="3"/>
    <tableColumn name="EA" id="4"/>
    <tableColumn name="Value (eV)" id="5"/>
    <tableColumn name="Count Water Molecules " id="6"/>
    <tableColumn name="Mulliken Charge" id="7"/>
    <tableColumn name="Notes" id="8"/>
  </tableColumns>
  <tableStyleInfo name="Analysis-style" showColumnStripes="0" showFirstColumn="1" showLastColumn="1" showRowStripes="1"/>
</table>
</file>

<file path=xl/tables/table3.xml><?xml version="1.0" encoding="utf-8"?>
<table xmlns="http://schemas.openxmlformats.org/spreadsheetml/2006/main" ref="A1:F61" displayName="Table1_2" name="Table1_2" id="3">
  <autoFilter ref="$A$1:$F$61"/>
  <tableColumns count="6">
    <tableColumn name="Owner" id="1"/>
    <tableColumn name="Name" id="2"/>
    <tableColumn name="Column 3" id="3"/>
    <tableColumn name="Counted Waters" id="4"/>
    <tableColumn name="Neutralized" id="5"/>
    <tableColumn name="Notes" id="6"/>
  </tableColumns>
  <tableStyleInfo name="Count H2O Molecules-style" showColumnStripes="0" showFirstColumn="1" showLastColumn="1" showRowStripes="1"/>
</table>
</file>

<file path=xl/tables/table4.xml><?xml version="1.0" encoding="utf-8"?>
<table xmlns="http://schemas.openxmlformats.org/spreadsheetml/2006/main" ref="A1:E55" displayName="Table2" name="Table2" id="4">
  <autoFilter ref="$A$1:$E$55"/>
  <tableColumns count="5">
    <tableColumn name="Owner" id="1"/>
    <tableColumn name="Column 2" id="2"/>
    <tableColumn name="Step" id="3"/>
    <tableColumn name="Umbrella Mode (cm-1)" id="4"/>
    <tableColumn name="Column 1" id="5"/>
  </tableColumns>
  <tableStyleInfo name="Hydronium Umbrella Mode (cm-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6h2o-1.xyz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3" width="22.63"/>
    <col customWidth="1" min="4" max="4" width="12.25"/>
    <col customWidth="1" min="5" max="5" width="22.63"/>
    <col customWidth="1" min="6" max="6" width="63.88"/>
  </cols>
  <sheetData>
    <row r="1" ht="22.5" customHeight="1">
      <c r="A1" s="1" t="s">
        <v>0</v>
      </c>
      <c r="B1" s="1" t="s">
        <v>2</v>
      </c>
      <c r="C1" s="1" t="s">
        <v>1</v>
      </c>
      <c r="D1" s="1" t="s">
        <v>5</v>
      </c>
      <c r="E1" s="1" t="s">
        <v>8</v>
      </c>
      <c r="F1" s="1" t="s">
        <v>11</v>
      </c>
    </row>
    <row r="2" ht="22.5" customHeight="1">
      <c r="A2" s="4" t="s">
        <v>14</v>
      </c>
      <c r="B2" s="4" t="s">
        <v>19</v>
      </c>
      <c r="C2" s="4" t="s">
        <v>21</v>
      </c>
      <c r="D2" s="4">
        <v>21.0</v>
      </c>
      <c r="E2" s="7">
        <v>45835.0</v>
      </c>
      <c r="F2" s="9" t="s">
        <v>25</v>
      </c>
    </row>
    <row r="3" ht="22.5" customHeight="1">
      <c r="A3" s="4" t="s">
        <v>14</v>
      </c>
      <c r="B3" s="4" t="s">
        <v>19</v>
      </c>
      <c r="C3" s="4" t="s">
        <v>22</v>
      </c>
      <c r="D3" s="4">
        <v>22.0</v>
      </c>
      <c r="E3" s="7">
        <v>45835.0</v>
      </c>
      <c r="F3" s="9" t="s">
        <v>30</v>
      </c>
    </row>
    <row r="4" ht="22.5" customHeight="1">
      <c r="A4" s="4" t="s">
        <v>14</v>
      </c>
      <c r="B4" s="4" t="s">
        <v>19</v>
      </c>
      <c r="C4" s="4" t="s">
        <v>32</v>
      </c>
      <c r="D4" s="4">
        <v>23.0</v>
      </c>
      <c r="E4" s="7">
        <v>45835.0</v>
      </c>
      <c r="F4" s="16"/>
    </row>
    <row r="5" ht="22.5" customHeight="1">
      <c r="A5" s="4" t="s">
        <v>14</v>
      </c>
      <c r="B5" s="4" t="s">
        <v>19</v>
      </c>
      <c r="C5" s="4" t="s">
        <v>39</v>
      </c>
      <c r="D5" s="4">
        <v>24.0</v>
      </c>
      <c r="E5" s="7">
        <v>45835.0</v>
      </c>
      <c r="F5" s="9" t="s">
        <v>41</v>
      </c>
    </row>
    <row r="6" ht="22.5" customHeight="1">
      <c r="A6" s="4" t="s">
        <v>14</v>
      </c>
      <c r="B6" s="4" t="s">
        <v>19</v>
      </c>
      <c r="C6" s="4" t="s">
        <v>45</v>
      </c>
      <c r="D6" s="4">
        <v>25.0</v>
      </c>
      <c r="E6" s="7">
        <v>45835.0</v>
      </c>
      <c r="F6" s="9" t="s">
        <v>48</v>
      </c>
    </row>
    <row r="7" ht="22.5" customHeight="1">
      <c r="A7" s="4" t="s">
        <v>14</v>
      </c>
      <c r="B7" s="4" t="s">
        <v>19</v>
      </c>
      <c r="C7" s="4" t="s">
        <v>22</v>
      </c>
      <c r="D7" s="4">
        <v>16.0</v>
      </c>
      <c r="E7" s="7">
        <v>45873.0</v>
      </c>
      <c r="F7" s="21" t="s">
        <v>50</v>
      </c>
    </row>
    <row r="8" ht="22.5" customHeight="1">
      <c r="A8" s="4" t="s">
        <v>14</v>
      </c>
      <c r="B8" s="4" t="s">
        <v>19</v>
      </c>
      <c r="C8" s="4" t="s">
        <v>21</v>
      </c>
      <c r="D8" s="4">
        <v>37.0</v>
      </c>
      <c r="E8" s="24"/>
      <c r="F8" s="9" t="s">
        <v>54</v>
      </c>
    </row>
    <row r="9" ht="22.5" customHeight="1">
      <c r="A9" s="4" t="s">
        <v>14</v>
      </c>
      <c r="B9" s="4" t="s">
        <v>19</v>
      </c>
      <c r="C9" s="4" t="s">
        <v>39</v>
      </c>
      <c r="D9" s="25"/>
      <c r="E9" s="24"/>
      <c r="F9" s="9" t="s">
        <v>58</v>
      </c>
    </row>
    <row r="10" ht="22.5" customHeight="1">
      <c r="A10" s="4" t="s">
        <v>59</v>
      </c>
      <c r="B10" s="4" t="s">
        <v>61</v>
      </c>
      <c r="C10" s="4" t="s">
        <v>32</v>
      </c>
      <c r="D10" s="4" t="s">
        <v>62</v>
      </c>
      <c r="E10" s="24"/>
      <c r="F10" s="9" t="s">
        <v>63</v>
      </c>
    </row>
    <row r="11" ht="22.5" customHeight="1">
      <c r="A11" s="4" t="s">
        <v>59</v>
      </c>
      <c r="B11" s="4" t="s">
        <v>64</v>
      </c>
      <c r="C11" s="4" t="s">
        <v>21</v>
      </c>
      <c r="D11" s="4">
        <v>37.0</v>
      </c>
      <c r="E11" s="24"/>
      <c r="F11" s="16"/>
    </row>
    <row r="12" ht="22.5" customHeight="1">
      <c r="A12" s="25"/>
      <c r="B12" s="25"/>
      <c r="C12" s="25"/>
      <c r="D12" s="25"/>
      <c r="E12" s="24"/>
      <c r="F12" s="16"/>
    </row>
    <row r="13" ht="22.5" customHeight="1">
      <c r="A13" s="25"/>
      <c r="B13" s="25"/>
      <c r="C13" s="25"/>
      <c r="D13" s="25"/>
      <c r="E13" s="24"/>
      <c r="F13" s="16"/>
    </row>
    <row r="14" ht="22.5" customHeight="1">
      <c r="A14" s="25"/>
      <c r="B14" s="25"/>
      <c r="C14" s="25"/>
      <c r="D14" s="25"/>
      <c r="E14" s="24"/>
      <c r="F14" s="16"/>
    </row>
    <row r="15" ht="22.5" customHeight="1">
      <c r="A15" s="25"/>
      <c r="B15" s="25"/>
      <c r="C15" s="25"/>
      <c r="D15" s="25"/>
      <c r="E15" s="24"/>
      <c r="F15" s="16"/>
    </row>
  </sheetData>
  <dataValidations>
    <dataValidation type="list" allowBlank="1" sqref="C2:C15">
      <formula1>"Collette,Alexandra,Anna,Michelle,Dave"</formula1>
    </dataValidation>
    <dataValidation type="custom" allowBlank="1" showDropDown="1" sqref="E2:E15">
      <formula1>OR(NOT(ISERROR(DATEVALUE(E2))), AND(ISNUMBER(E2), LEFT(CELL("format", E2))="D"))</formula1>
    </dataValidation>
    <dataValidation type="list" allowBlank="1" sqref="A2:A15">
      <formula1>"1: Refine Hydronium-Water Cluster,2: Add e- to 1,3: Introduce OH,4: Add e- to 3.,5. Pure H2O cluster,6: Add e- to 5."</formula1>
    </dataValidation>
    <dataValidation allowBlank="1" showDropDown="1" sqref="F2:F15"/>
    <dataValidation type="list" allowBlank="1" sqref="B2:B15">
      <formula1>"Not started,In progress,Completed"</formula1>
    </dataValidation>
    <dataValidation type="list" allowBlank="1" sqref="D2:D15">
      <formula1>"21,22,23,24,25,16,37"</formula1>
    </dataValidation>
  </dataValidations>
  <hyperlinks>
    <hyperlink r:id="rId1" ref="F7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2.75"/>
    <col customWidth="1" min="3" max="8" width="22.63"/>
    <col customWidth="1" min="9" max="9" width="16.0"/>
  </cols>
  <sheetData>
    <row r="1" ht="22.5" customHeight="1">
      <c r="A1" s="1" t="s">
        <v>1</v>
      </c>
      <c r="B1" s="1" t="s">
        <v>4</v>
      </c>
      <c r="C1" s="1" t="s">
        <v>6</v>
      </c>
      <c r="D1" s="1" t="s">
        <v>9</v>
      </c>
      <c r="E1" s="1" t="s">
        <v>13</v>
      </c>
      <c r="F1" s="1" t="s">
        <v>16</v>
      </c>
      <c r="G1" s="1" t="s">
        <v>17</v>
      </c>
      <c r="H1" s="1" t="s">
        <v>11</v>
      </c>
    </row>
    <row r="2" ht="22.5" customHeight="1">
      <c r="A2" s="4" t="s">
        <v>21</v>
      </c>
      <c r="B2" s="4">
        <v>21.0</v>
      </c>
      <c r="C2" s="4" t="s">
        <v>26</v>
      </c>
      <c r="D2" s="4" t="s">
        <v>27</v>
      </c>
      <c r="E2" s="13">
        <v>2.75795592543678</v>
      </c>
      <c r="F2" s="14"/>
      <c r="G2" s="14"/>
      <c r="H2" s="14"/>
    </row>
    <row r="3" ht="22.5" customHeight="1">
      <c r="A3" s="4" t="s">
        <v>21</v>
      </c>
      <c r="B3" s="4">
        <v>21.0</v>
      </c>
      <c r="C3" s="4" t="s">
        <v>26</v>
      </c>
      <c r="D3" s="4" t="s">
        <v>9</v>
      </c>
      <c r="E3" s="13">
        <v>2.79592182603917</v>
      </c>
      <c r="F3" s="14"/>
      <c r="G3" s="14"/>
      <c r="H3" s="14"/>
    </row>
    <row r="4" ht="22.5" hidden="1" customHeight="1">
      <c r="A4" s="4" t="s">
        <v>21</v>
      </c>
      <c r="B4" s="4">
        <v>21.0</v>
      </c>
      <c r="C4" s="4" t="s">
        <v>35</v>
      </c>
      <c r="D4" s="4" t="s">
        <v>27</v>
      </c>
      <c r="E4" s="17">
        <v>4.72874405120286</v>
      </c>
      <c r="F4" s="14"/>
      <c r="G4" s="14"/>
      <c r="H4" s="14"/>
    </row>
    <row r="5" ht="22.5" hidden="1" customHeight="1">
      <c r="A5" s="4" t="s">
        <v>21</v>
      </c>
      <c r="B5" s="4">
        <v>21.0</v>
      </c>
      <c r="C5" s="4" t="s">
        <v>35</v>
      </c>
      <c r="D5" s="4" t="s">
        <v>9</v>
      </c>
      <c r="E5" s="13">
        <v>8.18862014957368</v>
      </c>
      <c r="F5" s="14"/>
      <c r="G5" s="14"/>
      <c r="H5" s="14"/>
    </row>
    <row r="6" ht="22.5" hidden="1" customHeight="1">
      <c r="A6" s="4" t="s">
        <v>21</v>
      </c>
      <c r="B6" s="4">
        <v>21.0</v>
      </c>
      <c r="C6" s="4" t="s">
        <v>47</v>
      </c>
      <c r="D6" s="4" t="s">
        <v>27</v>
      </c>
      <c r="E6" s="13">
        <v>0.380959711335616</v>
      </c>
      <c r="F6" s="14"/>
      <c r="G6" s="14"/>
      <c r="H6" s="14"/>
    </row>
    <row r="7" ht="22.5" hidden="1" customHeight="1">
      <c r="A7" s="4" t="s">
        <v>21</v>
      </c>
      <c r="B7" s="4">
        <v>21.0</v>
      </c>
      <c r="C7" s="4" t="s">
        <v>47</v>
      </c>
      <c r="D7" s="4" t="s">
        <v>9</v>
      </c>
      <c r="E7" s="13">
        <v>0.48485286689658</v>
      </c>
      <c r="F7" s="14"/>
      <c r="G7" s="14"/>
      <c r="H7" s="14"/>
    </row>
    <row r="8" ht="22.5" customHeight="1">
      <c r="A8" s="4" t="s">
        <v>22</v>
      </c>
      <c r="B8" s="4">
        <v>22.0</v>
      </c>
      <c r="C8" s="4" t="s">
        <v>26</v>
      </c>
      <c r="D8" s="4" t="s">
        <v>9</v>
      </c>
      <c r="E8" s="13">
        <v>3.02</v>
      </c>
      <c r="F8" s="14"/>
      <c r="G8" s="14"/>
      <c r="H8" s="14"/>
    </row>
    <row r="9" ht="22.5" hidden="1" customHeight="1">
      <c r="A9" s="4" t="s">
        <v>22</v>
      </c>
      <c r="B9" s="4">
        <v>22.0</v>
      </c>
      <c r="C9" s="4" t="s">
        <v>35</v>
      </c>
      <c r="D9" s="4" t="s">
        <v>9</v>
      </c>
      <c r="E9" s="13">
        <v>8.63</v>
      </c>
      <c r="F9" s="14"/>
      <c r="G9" s="14"/>
      <c r="H9" s="14"/>
    </row>
    <row r="10" ht="22.5" hidden="1" customHeight="1">
      <c r="A10" s="4" t="s">
        <v>22</v>
      </c>
      <c r="B10" s="4">
        <v>23.0</v>
      </c>
      <c r="C10" s="4" t="s">
        <v>47</v>
      </c>
      <c r="D10" s="4" t="s">
        <v>9</v>
      </c>
      <c r="E10" s="13">
        <v>0.5</v>
      </c>
      <c r="F10" s="11" t="s">
        <v>57</v>
      </c>
      <c r="G10" s="14"/>
      <c r="H10" s="14"/>
    </row>
    <row r="11" ht="22.5" hidden="1" customHeight="1">
      <c r="A11" s="4" t="s">
        <v>22</v>
      </c>
      <c r="B11" s="4">
        <v>23.0</v>
      </c>
      <c r="C11" s="4" t="s">
        <v>47</v>
      </c>
      <c r="D11" s="4" t="s">
        <v>27</v>
      </c>
      <c r="E11" s="13">
        <v>0.45</v>
      </c>
      <c r="F11" s="11" t="s">
        <v>57</v>
      </c>
      <c r="G11" s="14"/>
      <c r="H11" s="14"/>
    </row>
    <row r="12" ht="22.5" hidden="1" customHeight="1">
      <c r="A12" s="4" t="s">
        <v>22</v>
      </c>
      <c r="B12" s="4">
        <v>22.0</v>
      </c>
      <c r="C12" s="4" t="s">
        <v>47</v>
      </c>
      <c r="D12" s="4" t="s">
        <v>9</v>
      </c>
      <c r="E12" s="13">
        <v>0.39</v>
      </c>
      <c r="F12" s="14"/>
      <c r="G12" s="14"/>
      <c r="H12" s="14"/>
    </row>
    <row r="13" ht="22.5" customHeight="1">
      <c r="A13" s="4" t="s">
        <v>22</v>
      </c>
      <c r="B13" s="4">
        <v>22.0</v>
      </c>
      <c r="C13" s="4" t="s">
        <v>26</v>
      </c>
      <c r="D13" s="4" t="s">
        <v>27</v>
      </c>
      <c r="E13" s="13">
        <v>2.94</v>
      </c>
      <c r="F13" s="14"/>
      <c r="G13" s="14"/>
      <c r="H13" s="14"/>
    </row>
    <row r="14" ht="22.5" hidden="1" customHeight="1">
      <c r="A14" s="4" t="s">
        <v>22</v>
      </c>
      <c r="B14" s="4">
        <v>22.0</v>
      </c>
      <c r="C14" s="4" t="s">
        <v>35</v>
      </c>
      <c r="D14" s="4" t="s">
        <v>27</v>
      </c>
      <c r="E14" s="13">
        <v>5.13</v>
      </c>
      <c r="F14" s="14"/>
      <c r="G14" s="14"/>
      <c r="H14" s="14"/>
    </row>
    <row r="15" ht="22.5" hidden="1" customHeight="1">
      <c r="A15" s="4" t="s">
        <v>22</v>
      </c>
      <c r="B15" s="4">
        <v>22.0</v>
      </c>
      <c r="C15" s="4" t="s">
        <v>47</v>
      </c>
      <c r="D15" s="4" t="s">
        <v>27</v>
      </c>
      <c r="E15" s="13">
        <v>0.44</v>
      </c>
      <c r="F15" s="14"/>
      <c r="G15" s="14"/>
      <c r="H15" s="14"/>
    </row>
    <row r="16" ht="22.5" customHeight="1">
      <c r="A16" s="4" t="s">
        <v>32</v>
      </c>
      <c r="B16" s="4">
        <v>23.0</v>
      </c>
      <c r="C16" s="4" t="s">
        <v>26</v>
      </c>
      <c r="D16" s="4" t="s">
        <v>9</v>
      </c>
      <c r="E16" s="13">
        <v>2.91</v>
      </c>
      <c r="F16" s="14"/>
      <c r="G16" s="14"/>
      <c r="H16" s="14"/>
    </row>
    <row r="17" ht="22.5" hidden="1" customHeight="1">
      <c r="A17" s="4" t="s">
        <v>32</v>
      </c>
      <c r="B17" s="4">
        <v>23.0</v>
      </c>
      <c r="C17" s="4" t="s">
        <v>35</v>
      </c>
      <c r="D17" s="4" t="s">
        <v>9</v>
      </c>
      <c r="E17" s="13">
        <v>8.2</v>
      </c>
      <c r="F17" s="14"/>
      <c r="G17" s="14"/>
      <c r="H17" s="14"/>
    </row>
    <row r="18" ht="22.5" hidden="1" customHeight="1">
      <c r="A18" s="4" t="s">
        <v>32</v>
      </c>
      <c r="B18" s="4">
        <v>23.0</v>
      </c>
      <c r="C18" s="4" t="s">
        <v>47</v>
      </c>
      <c r="D18" s="4" t="s">
        <v>9</v>
      </c>
      <c r="E18" s="13">
        <v>-0.23</v>
      </c>
      <c r="F18" s="14"/>
      <c r="G18" s="14"/>
      <c r="H18" s="14"/>
    </row>
    <row r="19" ht="22.5" customHeight="1">
      <c r="A19" s="4" t="s">
        <v>32</v>
      </c>
      <c r="B19" s="4">
        <v>23.0</v>
      </c>
      <c r="C19" s="4" t="s">
        <v>26</v>
      </c>
      <c r="D19" s="4" t="s">
        <v>27</v>
      </c>
      <c r="E19" s="13">
        <v>2.2</v>
      </c>
      <c r="F19" s="14"/>
      <c r="G19" s="14"/>
      <c r="H19" s="14"/>
    </row>
    <row r="20" ht="22.5" hidden="1" customHeight="1">
      <c r="A20" s="4" t="s">
        <v>32</v>
      </c>
      <c r="B20" s="4">
        <v>23.0</v>
      </c>
      <c r="C20" s="4" t="s">
        <v>35</v>
      </c>
      <c r="D20" s="4" t="s">
        <v>27</v>
      </c>
      <c r="E20" s="13">
        <v>4.52</v>
      </c>
      <c r="F20" s="14"/>
      <c r="G20" s="14"/>
      <c r="H20" s="14"/>
    </row>
    <row r="21" ht="22.5" hidden="1" customHeight="1">
      <c r="A21" s="4" t="s">
        <v>32</v>
      </c>
      <c r="B21" s="4">
        <v>23.0</v>
      </c>
      <c r="C21" s="4" t="s">
        <v>47</v>
      </c>
      <c r="D21" s="4" t="s">
        <v>27</v>
      </c>
      <c r="E21" s="13">
        <v>-0.33</v>
      </c>
      <c r="F21" s="14"/>
      <c r="G21" s="14"/>
      <c r="H21" s="14"/>
    </row>
    <row r="22" ht="22.5" customHeight="1">
      <c r="A22" s="4" t="s">
        <v>39</v>
      </c>
      <c r="B22" s="4">
        <v>24.0</v>
      </c>
      <c r="C22" s="4" t="s">
        <v>26</v>
      </c>
      <c r="D22" s="4" t="s">
        <v>9</v>
      </c>
      <c r="E22" s="13">
        <v>3.05</v>
      </c>
      <c r="F22" s="14"/>
      <c r="G22" s="14"/>
      <c r="H22" s="14"/>
    </row>
    <row r="23" ht="22.5" hidden="1" customHeight="1">
      <c r="A23" s="4" t="s">
        <v>39</v>
      </c>
      <c r="B23" s="4">
        <v>24.0</v>
      </c>
      <c r="C23" s="4" t="s">
        <v>35</v>
      </c>
      <c r="D23" s="4" t="s">
        <v>9</v>
      </c>
      <c r="E23" s="13">
        <v>8.34</v>
      </c>
      <c r="F23" s="14"/>
      <c r="G23" s="14"/>
      <c r="H23" s="14"/>
    </row>
    <row r="24" ht="22.5" hidden="1" customHeight="1">
      <c r="A24" s="4" t="s">
        <v>39</v>
      </c>
      <c r="B24" s="4">
        <v>24.0</v>
      </c>
      <c r="C24" s="4" t="s">
        <v>47</v>
      </c>
      <c r="D24" s="4" t="s">
        <v>9</v>
      </c>
      <c r="E24" s="13">
        <v>0.4</v>
      </c>
      <c r="F24" s="14"/>
      <c r="G24" s="14"/>
      <c r="H24" s="14"/>
    </row>
    <row r="25" ht="22.5" customHeight="1">
      <c r="A25" s="4" t="s">
        <v>39</v>
      </c>
      <c r="B25" s="4">
        <v>24.0</v>
      </c>
      <c r="C25" s="4" t="s">
        <v>26</v>
      </c>
      <c r="D25" s="4" t="s">
        <v>27</v>
      </c>
      <c r="E25" s="13">
        <v>2.8</v>
      </c>
      <c r="F25" s="14"/>
      <c r="G25" s="14"/>
      <c r="H25" s="14"/>
    </row>
    <row r="26" ht="22.5" hidden="1" customHeight="1">
      <c r="A26" s="4" t="s">
        <v>39</v>
      </c>
      <c r="B26" s="4">
        <v>24.0</v>
      </c>
      <c r="C26" s="4" t="s">
        <v>35</v>
      </c>
      <c r="D26" s="4" t="s">
        <v>27</v>
      </c>
      <c r="E26" s="13">
        <v>4.36</v>
      </c>
      <c r="F26" s="14"/>
      <c r="G26" s="14"/>
      <c r="H26" s="14"/>
    </row>
    <row r="27" ht="22.5" hidden="1" customHeight="1">
      <c r="A27" s="4" t="s">
        <v>39</v>
      </c>
      <c r="B27" s="4">
        <v>24.0</v>
      </c>
      <c r="C27" s="4" t="s">
        <v>47</v>
      </c>
      <c r="D27" s="4" t="s">
        <v>27</v>
      </c>
      <c r="E27" s="13">
        <v>0.36</v>
      </c>
      <c r="F27" s="14"/>
      <c r="G27" s="14"/>
      <c r="H27" s="14"/>
    </row>
    <row r="28" ht="22.5" customHeight="1">
      <c r="A28" s="4" t="s">
        <v>45</v>
      </c>
      <c r="B28" s="4">
        <v>25.0</v>
      </c>
      <c r="C28" s="4" t="s">
        <v>26</v>
      </c>
      <c r="D28" s="4" t="s">
        <v>27</v>
      </c>
      <c r="E28" s="13">
        <v>2.63</v>
      </c>
      <c r="F28" s="14"/>
      <c r="G28" s="14"/>
      <c r="H28" s="14"/>
    </row>
    <row r="29" ht="22.5" customHeight="1">
      <c r="A29" s="4" t="s">
        <v>45</v>
      </c>
      <c r="B29" s="4">
        <v>25.0</v>
      </c>
      <c r="C29" s="4" t="s">
        <v>26</v>
      </c>
      <c r="D29" s="4" t="s">
        <v>9</v>
      </c>
      <c r="E29" s="17">
        <v>2.99</v>
      </c>
      <c r="F29" s="14"/>
      <c r="G29" s="14"/>
      <c r="H29" s="14"/>
    </row>
    <row r="30" ht="22.5" hidden="1" customHeight="1">
      <c r="A30" s="4" t="s">
        <v>45</v>
      </c>
      <c r="B30" s="4">
        <v>25.0</v>
      </c>
      <c r="C30" s="4" t="s">
        <v>35</v>
      </c>
      <c r="D30" s="4" t="s">
        <v>27</v>
      </c>
      <c r="E30" s="13">
        <v>4.66</v>
      </c>
      <c r="F30" s="14"/>
      <c r="G30" s="14"/>
      <c r="H30" s="14"/>
    </row>
    <row r="31" ht="22.5" hidden="1" customHeight="1">
      <c r="A31" s="4" t="s">
        <v>45</v>
      </c>
      <c r="B31" s="4">
        <v>25.0</v>
      </c>
      <c r="C31" s="4" t="s">
        <v>35</v>
      </c>
      <c r="D31" s="4" t="s">
        <v>9</v>
      </c>
      <c r="E31" s="17">
        <v>7.75</v>
      </c>
      <c r="F31" s="14"/>
      <c r="G31" s="14"/>
      <c r="H31" s="14"/>
    </row>
    <row r="32" ht="22.5" hidden="1" customHeight="1">
      <c r="A32" s="4" t="s">
        <v>45</v>
      </c>
      <c r="B32" s="4">
        <v>25.0</v>
      </c>
      <c r="C32" s="4" t="s">
        <v>47</v>
      </c>
      <c r="D32" s="4" t="s">
        <v>27</v>
      </c>
      <c r="E32" s="13">
        <v>0.36</v>
      </c>
      <c r="F32" s="14"/>
      <c r="G32" s="14"/>
      <c r="H32" s="14"/>
    </row>
    <row r="33" ht="22.5" hidden="1" customHeight="1">
      <c r="A33" s="4" t="s">
        <v>45</v>
      </c>
      <c r="B33" s="4">
        <v>25.0</v>
      </c>
      <c r="C33" s="4" t="s">
        <v>47</v>
      </c>
      <c r="D33" s="4" t="s">
        <v>9</v>
      </c>
      <c r="E33" s="13">
        <v>0.4</v>
      </c>
      <c r="F33" s="14"/>
      <c r="G33" s="14"/>
      <c r="H33" s="14"/>
    </row>
    <row r="34" ht="22.5" customHeight="1">
      <c r="A34" s="4" t="s">
        <v>45</v>
      </c>
      <c r="B34" s="4">
        <v>25.0</v>
      </c>
      <c r="C34" s="4" t="s">
        <v>26</v>
      </c>
      <c r="D34" s="4" t="s">
        <v>27</v>
      </c>
      <c r="E34" s="13">
        <v>2.56</v>
      </c>
      <c r="F34" s="14"/>
      <c r="G34" s="14"/>
      <c r="H34" s="14"/>
    </row>
    <row r="35" ht="22.5" customHeight="1">
      <c r="A35" s="4" t="s">
        <v>45</v>
      </c>
      <c r="B35" s="4">
        <v>25.0</v>
      </c>
      <c r="C35" s="4" t="s">
        <v>26</v>
      </c>
      <c r="D35" s="4" t="s">
        <v>9</v>
      </c>
      <c r="E35" s="17">
        <v>2.7</v>
      </c>
      <c r="F35" s="14"/>
      <c r="G35" s="14"/>
      <c r="H35" s="14"/>
    </row>
    <row r="36" ht="22.5" hidden="1" customHeight="1">
      <c r="A36" s="4" t="s">
        <v>45</v>
      </c>
      <c r="B36" s="4">
        <v>25.0</v>
      </c>
      <c r="C36" s="4" t="s">
        <v>35</v>
      </c>
      <c r="D36" s="4" t="s">
        <v>27</v>
      </c>
      <c r="E36" s="13">
        <v>4.39</v>
      </c>
      <c r="F36" s="14"/>
      <c r="G36" s="14"/>
      <c r="H36" s="14"/>
    </row>
    <row r="37" ht="22.5" hidden="1" customHeight="1">
      <c r="A37" s="4" t="s">
        <v>45</v>
      </c>
      <c r="B37" s="4">
        <v>25.0</v>
      </c>
      <c r="C37" s="4" t="s">
        <v>35</v>
      </c>
      <c r="D37" s="4" t="s">
        <v>9</v>
      </c>
      <c r="E37" s="17">
        <v>7.32</v>
      </c>
      <c r="F37" s="14"/>
      <c r="G37" s="14"/>
      <c r="H37" s="14"/>
    </row>
    <row r="38" ht="22.5" hidden="1" customHeight="1">
      <c r="A38" s="4" t="s">
        <v>45</v>
      </c>
      <c r="B38" s="4">
        <v>25.0</v>
      </c>
      <c r="C38" s="4" t="s">
        <v>47</v>
      </c>
      <c r="D38" s="4" t="s">
        <v>27</v>
      </c>
      <c r="E38" s="13">
        <v>0.45</v>
      </c>
      <c r="F38" s="14"/>
      <c r="G38" s="14"/>
      <c r="H38" s="14"/>
    </row>
    <row r="39" ht="22.5" hidden="1" customHeight="1">
      <c r="A39" s="4" t="s">
        <v>45</v>
      </c>
      <c r="B39" s="4">
        <v>25.0</v>
      </c>
      <c r="C39" s="4" t="s">
        <v>47</v>
      </c>
      <c r="D39" s="4" t="s">
        <v>9</v>
      </c>
      <c r="E39" s="13">
        <v>0.53</v>
      </c>
      <c r="F39" s="14"/>
      <c r="G39" s="14"/>
      <c r="H39" s="14"/>
    </row>
    <row r="40" ht="22.5" customHeight="1">
      <c r="A40" s="4" t="s">
        <v>32</v>
      </c>
      <c r="B40" s="4">
        <v>31.0</v>
      </c>
      <c r="C40" s="4" t="s">
        <v>26</v>
      </c>
      <c r="D40" s="4" t="s">
        <v>9</v>
      </c>
      <c r="E40" s="13">
        <v>2.55</v>
      </c>
      <c r="F40" s="14"/>
      <c r="G40" s="14"/>
      <c r="H40" s="14"/>
    </row>
    <row r="41" ht="22.5" hidden="1" customHeight="1">
      <c r="A41" s="4" t="s">
        <v>32</v>
      </c>
      <c r="B41" s="4">
        <v>31.0</v>
      </c>
      <c r="C41" s="4" t="s">
        <v>47</v>
      </c>
      <c r="D41" s="4" t="s">
        <v>9</v>
      </c>
      <c r="E41" s="13">
        <v>0.2</v>
      </c>
      <c r="F41" s="14"/>
      <c r="G41" s="14"/>
      <c r="H41" s="14"/>
    </row>
    <row r="42" ht="22.5" customHeight="1">
      <c r="A42" s="4" t="s">
        <v>32</v>
      </c>
      <c r="B42" s="4">
        <v>31.0</v>
      </c>
      <c r="C42" s="4" t="s">
        <v>26</v>
      </c>
      <c r="D42" s="4" t="s">
        <v>27</v>
      </c>
      <c r="E42" s="13">
        <v>2.24</v>
      </c>
      <c r="F42" s="14"/>
      <c r="G42" s="14"/>
      <c r="H42" s="14"/>
    </row>
    <row r="43" ht="22.5" customHeight="1">
      <c r="A43" s="4" t="s">
        <v>39</v>
      </c>
      <c r="B43" s="4">
        <v>35.0</v>
      </c>
      <c r="C43" s="4" t="s">
        <v>26</v>
      </c>
      <c r="D43" s="4" t="s">
        <v>9</v>
      </c>
      <c r="E43" s="13">
        <v>2.8</v>
      </c>
      <c r="F43" s="14"/>
      <c r="G43" s="14"/>
      <c r="H43" s="14"/>
    </row>
    <row r="44" ht="22.5" customHeight="1">
      <c r="A44" s="4" t="s">
        <v>39</v>
      </c>
      <c r="B44" s="4">
        <v>35.0</v>
      </c>
      <c r="C44" s="4" t="s">
        <v>26</v>
      </c>
      <c r="D44" s="4" t="s">
        <v>27</v>
      </c>
      <c r="E44" s="13">
        <v>2.07</v>
      </c>
      <c r="F44" s="14"/>
      <c r="G44" s="14"/>
      <c r="H44" s="14"/>
    </row>
    <row r="45" ht="22.5" hidden="1" customHeight="1">
      <c r="A45" s="4" t="s">
        <v>39</v>
      </c>
      <c r="B45" s="4">
        <v>35.0</v>
      </c>
      <c r="C45" s="4" t="s">
        <v>47</v>
      </c>
      <c r="D45" s="4" t="s">
        <v>27</v>
      </c>
      <c r="E45" s="13">
        <v>0.61</v>
      </c>
      <c r="F45" s="14"/>
      <c r="G45" s="14"/>
      <c r="H45" s="14"/>
    </row>
    <row r="46" ht="22.5" hidden="1" customHeight="1">
      <c r="A46" s="4" t="s">
        <v>39</v>
      </c>
      <c r="B46" s="4">
        <v>35.0</v>
      </c>
      <c r="C46" s="4" t="s">
        <v>47</v>
      </c>
      <c r="D46" s="4" t="s">
        <v>9</v>
      </c>
      <c r="E46" s="13">
        <v>0.93</v>
      </c>
      <c r="F46" s="14"/>
      <c r="G46" s="14"/>
      <c r="H46" s="14"/>
    </row>
    <row r="47" ht="22.5" hidden="1" customHeight="1">
      <c r="A47" s="4" t="s">
        <v>32</v>
      </c>
      <c r="B47" s="4">
        <v>31.0</v>
      </c>
      <c r="C47" s="4" t="s">
        <v>47</v>
      </c>
      <c r="D47" s="4" t="s">
        <v>27</v>
      </c>
      <c r="E47" s="13">
        <v>-0.11</v>
      </c>
      <c r="F47" s="14"/>
      <c r="G47" s="14"/>
      <c r="H47" s="14"/>
    </row>
    <row r="48" ht="22.5" hidden="1" customHeight="1">
      <c r="A48" s="4" t="s">
        <v>21</v>
      </c>
      <c r="B48" s="4">
        <v>37.0</v>
      </c>
      <c r="C48" s="4" t="s">
        <v>47</v>
      </c>
      <c r="D48" s="4" t="s">
        <v>27</v>
      </c>
      <c r="E48" s="13">
        <v>0.53933010561606</v>
      </c>
      <c r="F48" s="14"/>
      <c r="G48" s="14"/>
      <c r="H48" s="14"/>
    </row>
    <row r="49" ht="22.5" hidden="1" customHeight="1">
      <c r="A49" s="4" t="s">
        <v>21</v>
      </c>
      <c r="B49" s="4">
        <v>37.0</v>
      </c>
      <c r="C49" s="4" t="s">
        <v>47</v>
      </c>
      <c r="D49" s="4" t="s">
        <v>9</v>
      </c>
      <c r="E49" s="13">
        <v>0.698516842139612</v>
      </c>
      <c r="F49" s="14"/>
      <c r="G49" s="14"/>
      <c r="H49" s="14"/>
    </row>
    <row r="50" ht="22.5" customHeight="1">
      <c r="A50" s="4" t="s">
        <v>21</v>
      </c>
      <c r="B50" s="4">
        <v>37.0</v>
      </c>
      <c r="C50" s="4" t="s">
        <v>26</v>
      </c>
      <c r="D50" s="4" t="s">
        <v>27</v>
      </c>
      <c r="E50" s="13">
        <v>2.69</v>
      </c>
      <c r="F50" s="14"/>
      <c r="G50" s="14"/>
      <c r="H50" s="14"/>
    </row>
    <row r="51" ht="22.5" customHeight="1">
      <c r="A51" s="4" t="s">
        <v>45</v>
      </c>
      <c r="B51" s="4">
        <v>39.0</v>
      </c>
      <c r="C51" s="4" t="s">
        <v>26</v>
      </c>
      <c r="D51" s="4" t="s">
        <v>27</v>
      </c>
      <c r="E51" s="13">
        <v>2.46</v>
      </c>
      <c r="F51" s="14"/>
      <c r="G51" s="14"/>
      <c r="H51" s="14"/>
    </row>
    <row r="52" ht="22.5" customHeight="1">
      <c r="A52" s="4" t="s">
        <v>21</v>
      </c>
      <c r="B52" s="4">
        <v>37.0</v>
      </c>
      <c r="C52" s="4" t="s">
        <v>26</v>
      </c>
      <c r="D52" s="4" t="s">
        <v>9</v>
      </c>
      <c r="E52" s="13">
        <v>2.8</v>
      </c>
      <c r="F52" s="14"/>
      <c r="G52" s="14"/>
      <c r="H52" s="14"/>
    </row>
    <row r="53" ht="22.5" customHeight="1">
      <c r="A53" s="4" t="s">
        <v>45</v>
      </c>
      <c r="B53" s="4">
        <v>39.0</v>
      </c>
      <c r="C53" s="4" t="s">
        <v>26</v>
      </c>
      <c r="D53" s="4" t="s">
        <v>9</v>
      </c>
      <c r="E53" s="17">
        <v>2.57</v>
      </c>
      <c r="F53" s="14"/>
      <c r="G53" s="14"/>
      <c r="H53" s="14"/>
    </row>
    <row r="54" ht="22.5" hidden="1" customHeight="1">
      <c r="A54" s="4" t="s">
        <v>45</v>
      </c>
      <c r="B54" s="4">
        <v>39.0</v>
      </c>
      <c r="C54" s="4" t="s">
        <v>47</v>
      </c>
      <c r="D54" s="4" t="s">
        <v>27</v>
      </c>
      <c r="E54" s="13">
        <v>0.54</v>
      </c>
      <c r="F54" s="14"/>
      <c r="G54" s="14"/>
      <c r="H54" s="14"/>
    </row>
    <row r="55" ht="22.5" hidden="1" customHeight="1">
      <c r="A55" s="4" t="s">
        <v>45</v>
      </c>
      <c r="B55" s="4">
        <v>39.0</v>
      </c>
      <c r="C55" s="4" t="s">
        <v>47</v>
      </c>
      <c r="D55" s="4" t="s">
        <v>9</v>
      </c>
      <c r="E55" s="13">
        <v>0.75</v>
      </c>
      <c r="F55" s="11"/>
      <c r="G55" s="11"/>
      <c r="H55" s="11"/>
    </row>
    <row r="56" ht="22.5" customHeight="1">
      <c r="A56" s="4" t="s">
        <v>22</v>
      </c>
      <c r="B56" s="4">
        <v>15.0</v>
      </c>
      <c r="C56" s="4" t="s">
        <v>26</v>
      </c>
      <c r="D56" s="4" t="s">
        <v>9</v>
      </c>
      <c r="E56" s="13">
        <v>2.98</v>
      </c>
      <c r="F56" s="14"/>
      <c r="G56" s="14"/>
      <c r="H56" s="14"/>
    </row>
    <row r="57" ht="22.5" customHeight="1">
      <c r="A57" s="4" t="s">
        <v>22</v>
      </c>
      <c r="B57" s="4">
        <v>15.0</v>
      </c>
      <c r="C57" s="4" t="s">
        <v>26</v>
      </c>
      <c r="D57" s="4" t="s">
        <v>27</v>
      </c>
      <c r="E57" s="13">
        <v>2.89</v>
      </c>
      <c r="F57" s="14"/>
      <c r="G57" s="14"/>
      <c r="H57" s="14"/>
    </row>
    <row r="58" ht="22.5" hidden="1" customHeight="1">
      <c r="A58" s="4" t="s">
        <v>22</v>
      </c>
      <c r="B58" s="4">
        <v>16.0</v>
      </c>
      <c r="C58" s="4" t="s">
        <v>47</v>
      </c>
      <c r="D58" s="4" t="s">
        <v>9</v>
      </c>
      <c r="E58" s="13">
        <v>0.36</v>
      </c>
      <c r="F58" s="14"/>
      <c r="G58" s="14"/>
      <c r="H58" s="14"/>
    </row>
    <row r="59" ht="22.5" hidden="1" customHeight="1">
      <c r="A59" s="4" t="s">
        <v>22</v>
      </c>
      <c r="B59" s="4">
        <v>16.0</v>
      </c>
      <c r="C59" s="4" t="s">
        <v>47</v>
      </c>
      <c r="D59" s="4" t="s">
        <v>27</v>
      </c>
      <c r="E59" s="13">
        <v>0.32</v>
      </c>
      <c r="F59" s="14"/>
      <c r="G59" s="14"/>
      <c r="H59" s="14"/>
    </row>
    <row r="60" ht="22.5" customHeight="1">
      <c r="A60" s="4" t="s">
        <v>22</v>
      </c>
      <c r="B60" s="4">
        <v>16.0</v>
      </c>
      <c r="C60" s="4" t="s">
        <v>26</v>
      </c>
      <c r="D60" s="4" t="s">
        <v>9</v>
      </c>
      <c r="E60" s="13">
        <v>3.22</v>
      </c>
      <c r="F60" s="14"/>
      <c r="G60" s="14"/>
      <c r="H60" s="14"/>
    </row>
    <row r="61" ht="22.5" customHeight="1">
      <c r="A61" s="4" t="s">
        <v>22</v>
      </c>
      <c r="B61" s="4">
        <v>16.0</v>
      </c>
      <c r="C61" s="4" t="s">
        <v>26</v>
      </c>
      <c r="D61" s="4" t="s">
        <v>27</v>
      </c>
      <c r="E61" s="13">
        <v>2.88</v>
      </c>
      <c r="F61" s="14"/>
      <c r="G61" s="14"/>
      <c r="H61" s="14"/>
    </row>
    <row r="62" ht="22.5" hidden="1" customHeight="1">
      <c r="A62" s="4" t="s">
        <v>22</v>
      </c>
      <c r="B62" s="4">
        <v>17.0</v>
      </c>
      <c r="C62" s="4" t="s">
        <v>47</v>
      </c>
      <c r="D62" s="4" t="s">
        <v>9</v>
      </c>
      <c r="E62" s="13">
        <v>0.59</v>
      </c>
      <c r="F62" s="14"/>
      <c r="G62" s="14"/>
      <c r="H62" s="14"/>
    </row>
    <row r="63" ht="22.5" hidden="1" customHeight="1">
      <c r="A63" s="4" t="s">
        <v>22</v>
      </c>
      <c r="B63" s="4">
        <v>17.0</v>
      </c>
      <c r="C63" s="4" t="s">
        <v>47</v>
      </c>
      <c r="D63" s="4" t="s">
        <v>27</v>
      </c>
      <c r="E63" s="13">
        <v>0.39</v>
      </c>
      <c r="F63" s="14"/>
      <c r="G63" s="14"/>
      <c r="H63" s="14"/>
    </row>
  </sheetData>
  <dataValidations>
    <dataValidation type="list" allowBlank="1" sqref="C2:C63">
      <formula1>"1 (1+2),2 (3+4),3 (5+6)"</formula1>
    </dataValidation>
    <dataValidation type="list" allowBlank="1" sqref="A2:A63">
      <formula1>"Collette,Alexandra,Anna,Michelle,Dave"</formula1>
    </dataValidation>
    <dataValidation type="list" allowBlank="1" sqref="B2:B63">
      <formula1>"21,22,23,24,25,16,37,40,35,31"</formula1>
    </dataValidation>
    <dataValidation type="list" allowBlank="1" sqref="D2:D63">
      <formula1>"EA,VEA"</formula1>
    </dataValidation>
    <dataValidation type="custom" allowBlank="1" showDropDown="1" sqref="E2:E63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2.75"/>
    <col customWidth="1" min="3" max="3" width="22.63"/>
    <col customWidth="1" min="4" max="4" width="32.63"/>
    <col customWidth="1" min="5" max="5" width="16.0"/>
    <col customWidth="1" min="6" max="6" width="33.75"/>
  </cols>
  <sheetData>
    <row r="1" ht="22.5" customHeight="1">
      <c r="A1" s="1" t="s">
        <v>1</v>
      </c>
      <c r="B1" s="1" t="s">
        <v>3</v>
      </c>
      <c r="C1" s="1" t="s">
        <v>7</v>
      </c>
      <c r="D1" s="2" t="s">
        <v>10</v>
      </c>
      <c r="E1" s="3" t="s">
        <v>15</v>
      </c>
      <c r="F1" s="5" t="s">
        <v>11</v>
      </c>
    </row>
    <row r="2" ht="22.5" customHeight="1">
      <c r="A2" s="4" t="s">
        <v>21</v>
      </c>
      <c r="B2" s="4">
        <v>21.0</v>
      </c>
      <c r="C2" s="4" t="s">
        <v>23</v>
      </c>
      <c r="D2" s="8" t="s">
        <v>24</v>
      </c>
      <c r="F2" s="10"/>
    </row>
    <row r="3" ht="22.5" customHeight="1">
      <c r="A3" s="4" t="s">
        <v>21</v>
      </c>
      <c r="B3" s="4">
        <v>21.0</v>
      </c>
      <c r="C3" s="4" t="s">
        <v>28</v>
      </c>
      <c r="D3" s="8" t="s">
        <v>29</v>
      </c>
      <c r="F3" s="10"/>
    </row>
    <row r="4" ht="22.5" customHeight="1">
      <c r="A4" s="4" t="s">
        <v>21</v>
      </c>
      <c r="B4" s="4">
        <v>21.0</v>
      </c>
      <c r="C4" s="4" t="s">
        <v>31</v>
      </c>
      <c r="D4" s="8" t="s">
        <v>33</v>
      </c>
      <c r="F4" s="15" t="s">
        <v>34</v>
      </c>
    </row>
    <row r="5" ht="22.5" customHeight="1">
      <c r="A5" s="4" t="s">
        <v>21</v>
      </c>
      <c r="B5" s="4">
        <v>21.0</v>
      </c>
      <c r="C5" s="4" t="s">
        <v>36</v>
      </c>
      <c r="D5" s="8" t="s">
        <v>37</v>
      </c>
      <c r="E5" s="18" t="s">
        <v>38</v>
      </c>
      <c r="F5" s="15" t="s">
        <v>40</v>
      </c>
    </row>
    <row r="6" ht="22.5" customHeight="1">
      <c r="A6" s="4" t="s">
        <v>21</v>
      </c>
      <c r="B6" s="4">
        <v>21.0</v>
      </c>
      <c r="C6" s="4" t="s">
        <v>42</v>
      </c>
      <c r="D6" s="8" t="s">
        <v>43</v>
      </c>
      <c r="F6" s="10"/>
    </row>
    <row r="7" ht="22.5" customHeight="1">
      <c r="A7" s="4" t="s">
        <v>21</v>
      </c>
      <c r="B7" s="4">
        <v>21.0</v>
      </c>
      <c r="C7" s="4" t="s">
        <v>44</v>
      </c>
      <c r="D7" s="8" t="s">
        <v>46</v>
      </c>
      <c r="F7" s="10"/>
    </row>
    <row r="8" ht="22.5" customHeight="1">
      <c r="A8" s="4" t="s">
        <v>22</v>
      </c>
      <c r="B8" s="4">
        <v>22.0</v>
      </c>
      <c r="C8" s="4" t="s">
        <v>23</v>
      </c>
      <c r="D8" s="8" t="s">
        <v>49</v>
      </c>
      <c r="F8" s="10"/>
    </row>
    <row r="9" ht="22.5" customHeight="1">
      <c r="A9" s="4" t="s">
        <v>22</v>
      </c>
      <c r="B9" s="4">
        <v>22.0</v>
      </c>
      <c r="C9" s="4" t="s">
        <v>28</v>
      </c>
      <c r="D9" s="8" t="s">
        <v>49</v>
      </c>
      <c r="F9" s="10"/>
    </row>
    <row r="10" ht="22.5" customHeight="1">
      <c r="A10" s="4" t="s">
        <v>22</v>
      </c>
      <c r="B10" s="4">
        <v>22.0</v>
      </c>
      <c r="C10" s="4" t="s">
        <v>31</v>
      </c>
      <c r="D10" s="8" t="s">
        <v>51</v>
      </c>
      <c r="F10" s="10"/>
    </row>
    <row r="11" ht="22.5" customHeight="1">
      <c r="A11" s="4" t="s">
        <v>22</v>
      </c>
      <c r="B11" s="4">
        <v>22.0</v>
      </c>
      <c r="C11" s="4" t="s">
        <v>36</v>
      </c>
      <c r="D11" s="8" t="s">
        <v>52</v>
      </c>
      <c r="F11" s="15" t="s">
        <v>53</v>
      </c>
    </row>
    <row r="12" ht="22.5" customHeight="1">
      <c r="A12" s="4" t="s">
        <v>22</v>
      </c>
      <c r="B12" s="4">
        <v>22.0</v>
      </c>
      <c r="C12" s="4" t="s">
        <v>42</v>
      </c>
      <c r="D12" s="8" t="s">
        <v>55</v>
      </c>
      <c r="F12" s="15" t="s">
        <v>56</v>
      </c>
    </row>
    <row r="13" ht="22.5" customHeight="1">
      <c r="A13" s="4" t="s">
        <v>22</v>
      </c>
      <c r="B13" s="4">
        <v>22.0</v>
      </c>
      <c r="C13" s="4" t="s">
        <v>44</v>
      </c>
      <c r="D13" s="8" t="s">
        <v>55</v>
      </c>
      <c r="F13" s="15" t="s">
        <v>56</v>
      </c>
    </row>
    <row r="14" ht="22.5" customHeight="1">
      <c r="A14" s="4" t="s">
        <v>32</v>
      </c>
      <c r="B14" s="4">
        <v>23.0</v>
      </c>
      <c r="C14" s="26"/>
      <c r="D14" s="27"/>
      <c r="F14" s="10"/>
    </row>
    <row r="15" ht="22.5" customHeight="1">
      <c r="A15" s="4" t="s">
        <v>32</v>
      </c>
      <c r="B15" s="4">
        <v>23.0</v>
      </c>
      <c r="C15" s="26"/>
      <c r="D15" s="27"/>
      <c r="F15" s="10"/>
    </row>
    <row r="16" ht="22.5" customHeight="1">
      <c r="A16" s="4" t="s">
        <v>32</v>
      </c>
      <c r="B16" s="4">
        <v>23.0</v>
      </c>
      <c r="C16" s="26"/>
      <c r="D16" s="27"/>
      <c r="F16" s="10"/>
    </row>
    <row r="17" ht="22.5" customHeight="1">
      <c r="A17" s="4" t="s">
        <v>32</v>
      </c>
      <c r="B17" s="4">
        <v>23.0</v>
      </c>
      <c r="C17" s="26"/>
      <c r="D17" s="27"/>
      <c r="F17" s="10"/>
    </row>
    <row r="18" ht="22.5" customHeight="1">
      <c r="A18" s="4" t="s">
        <v>32</v>
      </c>
      <c r="B18" s="4">
        <v>23.0</v>
      </c>
      <c r="C18" s="26"/>
      <c r="D18" s="27"/>
      <c r="F18" s="10"/>
    </row>
    <row r="19" ht="22.5" customHeight="1">
      <c r="A19" s="4" t="s">
        <v>32</v>
      </c>
      <c r="B19" s="4">
        <v>23.0</v>
      </c>
      <c r="C19" s="26"/>
      <c r="D19" s="27"/>
      <c r="F19" s="10"/>
    </row>
    <row r="20" ht="22.5" customHeight="1">
      <c r="A20" s="4" t="s">
        <v>39</v>
      </c>
      <c r="B20" s="4">
        <v>24.0</v>
      </c>
      <c r="C20" s="4" t="s">
        <v>23</v>
      </c>
      <c r="D20" s="28" t="s">
        <v>65</v>
      </c>
      <c r="F20" s="10"/>
    </row>
    <row r="21" ht="22.5" customHeight="1">
      <c r="A21" s="4" t="s">
        <v>39</v>
      </c>
      <c r="B21" s="4">
        <v>24.0</v>
      </c>
      <c r="C21" s="4" t="s">
        <v>28</v>
      </c>
      <c r="D21" s="28" t="s">
        <v>65</v>
      </c>
      <c r="F21" s="10"/>
    </row>
    <row r="22" ht="22.5" customHeight="1">
      <c r="A22" s="4" t="s">
        <v>39</v>
      </c>
      <c r="B22" s="4">
        <v>24.0</v>
      </c>
      <c r="C22" s="4" t="s">
        <v>31</v>
      </c>
      <c r="D22" s="28" t="s">
        <v>66</v>
      </c>
      <c r="F22" s="10"/>
    </row>
    <row r="23" ht="22.5" customHeight="1">
      <c r="A23" s="4" t="s">
        <v>39</v>
      </c>
      <c r="B23" s="4">
        <v>24.0</v>
      </c>
      <c r="C23" s="4" t="s">
        <v>36</v>
      </c>
      <c r="D23" s="28" t="s">
        <v>66</v>
      </c>
      <c r="E23" s="18" t="s">
        <v>68</v>
      </c>
      <c r="F23" s="32"/>
    </row>
    <row r="24" ht="22.5" customHeight="1">
      <c r="A24" s="4" t="s">
        <v>39</v>
      </c>
      <c r="B24" s="4">
        <v>24.0</v>
      </c>
      <c r="C24" s="4" t="s">
        <v>42</v>
      </c>
      <c r="D24" s="28" t="s">
        <v>77</v>
      </c>
      <c r="F24" s="10"/>
    </row>
    <row r="25" ht="22.5" customHeight="1">
      <c r="A25" s="4" t="s">
        <v>39</v>
      </c>
      <c r="B25" s="4">
        <v>24.0</v>
      </c>
      <c r="C25" s="4" t="s">
        <v>44</v>
      </c>
      <c r="D25" s="28" t="s">
        <v>78</v>
      </c>
      <c r="F25" s="10"/>
    </row>
    <row r="26" ht="22.5" customHeight="1">
      <c r="A26" s="4" t="s">
        <v>45</v>
      </c>
      <c r="B26" s="4">
        <v>25.0</v>
      </c>
      <c r="C26" s="26"/>
      <c r="D26" s="27"/>
      <c r="F26" s="10"/>
    </row>
    <row r="27" ht="22.5" customHeight="1">
      <c r="A27" s="4" t="s">
        <v>45</v>
      </c>
      <c r="B27" s="4">
        <v>25.0</v>
      </c>
      <c r="C27" s="26"/>
      <c r="D27" s="27"/>
      <c r="F27" s="10"/>
    </row>
    <row r="28" ht="22.5" customHeight="1">
      <c r="A28" s="4" t="s">
        <v>45</v>
      </c>
      <c r="B28" s="4">
        <v>25.0</v>
      </c>
      <c r="C28" s="26"/>
      <c r="D28" s="27"/>
      <c r="F28" s="10"/>
    </row>
    <row r="29" ht="22.5" customHeight="1">
      <c r="A29" s="4" t="s">
        <v>45</v>
      </c>
      <c r="B29" s="4">
        <v>25.0</v>
      </c>
      <c r="C29" s="26"/>
      <c r="D29" s="27"/>
      <c r="F29" s="10"/>
    </row>
    <row r="30" ht="22.5" customHeight="1">
      <c r="A30" s="4" t="s">
        <v>45</v>
      </c>
      <c r="B30" s="4">
        <v>25.0</v>
      </c>
      <c r="C30" s="26"/>
      <c r="D30" s="27"/>
      <c r="F30" s="10"/>
    </row>
    <row r="31" ht="22.5" customHeight="1">
      <c r="A31" s="4" t="s">
        <v>45</v>
      </c>
      <c r="B31" s="4">
        <v>25.0</v>
      </c>
      <c r="C31" s="26"/>
      <c r="D31" s="27"/>
      <c r="F31" s="10"/>
    </row>
    <row r="32" ht="22.5" customHeight="1">
      <c r="A32" s="4" t="s">
        <v>45</v>
      </c>
      <c r="B32" s="4">
        <v>25.0</v>
      </c>
      <c r="C32" s="26"/>
      <c r="D32" s="27"/>
      <c r="F32" s="10"/>
    </row>
    <row r="33" ht="22.5" customHeight="1">
      <c r="A33" s="4" t="s">
        <v>45</v>
      </c>
      <c r="B33" s="4">
        <v>25.0</v>
      </c>
      <c r="C33" s="26"/>
      <c r="D33" s="27"/>
      <c r="F33" s="10"/>
    </row>
    <row r="34" ht="22.5" customHeight="1">
      <c r="A34" s="4" t="s">
        <v>45</v>
      </c>
      <c r="B34" s="4">
        <v>25.0</v>
      </c>
      <c r="C34" s="26"/>
      <c r="D34" s="27"/>
      <c r="F34" s="10"/>
    </row>
    <row r="35" ht="22.5" customHeight="1">
      <c r="A35" s="4" t="s">
        <v>45</v>
      </c>
      <c r="B35" s="4">
        <v>25.0</v>
      </c>
      <c r="C35" s="26"/>
      <c r="D35" s="27"/>
      <c r="F35" s="10"/>
    </row>
    <row r="36" ht="22.5" customHeight="1">
      <c r="A36" s="4" t="s">
        <v>45</v>
      </c>
      <c r="B36" s="4">
        <v>25.0</v>
      </c>
      <c r="C36" s="26"/>
      <c r="D36" s="27"/>
      <c r="F36" s="10"/>
    </row>
    <row r="37" ht="22.5" customHeight="1">
      <c r="A37" s="4" t="s">
        <v>45</v>
      </c>
      <c r="B37" s="4">
        <v>25.0</v>
      </c>
      <c r="C37" s="26"/>
      <c r="D37" s="27"/>
      <c r="F37" s="10"/>
    </row>
    <row r="38" ht="22.5" customHeight="1">
      <c r="A38" s="4" t="s">
        <v>32</v>
      </c>
      <c r="B38" s="4">
        <v>31.0</v>
      </c>
      <c r="C38" s="26"/>
      <c r="D38" s="27"/>
      <c r="F38" s="10"/>
    </row>
    <row r="39" ht="22.5" customHeight="1">
      <c r="A39" s="4" t="s">
        <v>32</v>
      </c>
      <c r="B39" s="4">
        <v>31.0</v>
      </c>
      <c r="C39" s="26"/>
      <c r="D39" s="27"/>
      <c r="F39" s="10"/>
    </row>
    <row r="40" ht="22.5" customHeight="1">
      <c r="A40" s="4" t="s">
        <v>32</v>
      </c>
      <c r="B40" s="4">
        <v>31.0</v>
      </c>
      <c r="C40" s="26"/>
      <c r="D40" s="27"/>
      <c r="F40" s="10"/>
    </row>
    <row r="41" ht="22.5" customHeight="1">
      <c r="A41" s="4" t="s">
        <v>39</v>
      </c>
      <c r="B41" s="4">
        <v>35.0</v>
      </c>
      <c r="C41" s="4" t="s">
        <v>23</v>
      </c>
      <c r="D41" s="28" t="s">
        <v>144</v>
      </c>
      <c r="F41" s="10"/>
    </row>
    <row r="42" ht="22.5" customHeight="1">
      <c r="A42" s="4" t="s">
        <v>39</v>
      </c>
      <c r="B42" s="4">
        <v>35.0</v>
      </c>
      <c r="C42" s="4" t="s">
        <v>28</v>
      </c>
      <c r="D42" s="28" t="s">
        <v>144</v>
      </c>
      <c r="F42" s="10"/>
    </row>
    <row r="43" ht="22.5" customHeight="1">
      <c r="A43" s="4" t="s">
        <v>39</v>
      </c>
      <c r="B43" s="4">
        <v>35.0</v>
      </c>
      <c r="C43" s="4" t="s">
        <v>42</v>
      </c>
      <c r="D43" s="28" t="s">
        <v>155</v>
      </c>
      <c r="F43" s="10"/>
    </row>
    <row r="44" ht="22.5" customHeight="1">
      <c r="A44" s="4" t="s">
        <v>39</v>
      </c>
      <c r="B44" s="4">
        <v>35.0</v>
      </c>
      <c r="C44" s="4" t="s">
        <v>44</v>
      </c>
      <c r="D44" s="28" t="s">
        <v>155</v>
      </c>
      <c r="F44" s="10"/>
    </row>
    <row r="45" ht="22.5" customHeight="1">
      <c r="A45" s="4" t="s">
        <v>32</v>
      </c>
      <c r="B45" s="4">
        <v>31.0</v>
      </c>
      <c r="C45" s="26"/>
      <c r="D45" s="27"/>
      <c r="F45" s="10"/>
    </row>
    <row r="46" ht="22.5" customHeight="1">
      <c r="A46" s="4" t="s">
        <v>21</v>
      </c>
      <c r="B46" s="4">
        <v>37.0</v>
      </c>
      <c r="C46" s="4" t="s">
        <v>23</v>
      </c>
      <c r="D46" s="8" t="s">
        <v>162</v>
      </c>
      <c r="F46" s="10"/>
    </row>
    <row r="47" ht="22.5" customHeight="1">
      <c r="A47" s="4" t="s">
        <v>21</v>
      </c>
      <c r="B47" s="4">
        <v>37.0</v>
      </c>
      <c r="C47" s="4" t="s">
        <v>28</v>
      </c>
      <c r="D47" s="8" t="s">
        <v>164</v>
      </c>
      <c r="F47" s="10"/>
    </row>
    <row r="48" ht="22.5" customHeight="1">
      <c r="A48" s="4" t="s">
        <v>21</v>
      </c>
      <c r="B48" s="4">
        <v>37.0</v>
      </c>
      <c r="C48" s="4" t="s">
        <v>42</v>
      </c>
      <c r="D48" s="8" t="s">
        <v>165</v>
      </c>
      <c r="F48" s="10"/>
    </row>
    <row r="49" ht="22.5" customHeight="1">
      <c r="A49" s="4" t="s">
        <v>21</v>
      </c>
      <c r="B49" s="4">
        <v>37.0</v>
      </c>
      <c r="C49" s="4" t="s">
        <v>44</v>
      </c>
      <c r="D49" s="8" t="s">
        <v>166</v>
      </c>
      <c r="F49" s="10"/>
    </row>
    <row r="50" ht="22.5" customHeight="1">
      <c r="A50" s="4" t="s">
        <v>45</v>
      </c>
      <c r="B50" s="4">
        <v>39.0</v>
      </c>
      <c r="C50" s="26"/>
      <c r="D50" s="27"/>
      <c r="F50" s="10"/>
    </row>
    <row r="51" ht="22.5" customHeight="1">
      <c r="A51" s="4" t="s">
        <v>45</v>
      </c>
      <c r="B51" s="4">
        <v>39.0</v>
      </c>
      <c r="C51" s="26"/>
      <c r="D51" s="27"/>
      <c r="F51" s="10"/>
    </row>
    <row r="52" ht="22.5" customHeight="1">
      <c r="A52" s="4" t="s">
        <v>45</v>
      </c>
      <c r="B52" s="4">
        <v>39.0</v>
      </c>
      <c r="C52" s="26"/>
      <c r="D52" s="27"/>
      <c r="F52" s="10"/>
    </row>
    <row r="53" ht="22.5" customHeight="1">
      <c r="A53" s="4" t="s">
        <v>45</v>
      </c>
      <c r="B53" s="4">
        <v>39.0</v>
      </c>
      <c r="C53" s="26"/>
      <c r="D53" s="8"/>
      <c r="F53" s="10"/>
    </row>
    <row r="54" ht="22.5" customHeight="1">
      <c r="A54" s="4" t="s">
        <v>22</v>
      </c>
      <c r="B54" s="4">
        <v>15.0</v>
      </c>
      <c r="C54" s="4" t="s">
        <v>23</v>
      </c>
      <c r="D54" s="8" t="s">
        <v>185</v>
      </c>
      <c r="F54" s="10"/>
    </row>
    <row r="55" ht="22.5" customHeight="1">
      <c r="A55" s="4" t="s">
        <v>22</v>
      </c>
      <c r="B55" s="4">
        <v>15.0</v>
      </c>
      <c r="C55" s="4" t="s">
        <v>28</v>
      </c>
      <c r="D55" s="8" t="s">
        <v>185</v>
      </c>
      <c r="F55" s="10"/>
    </row>
    <row r="56" ht="22.5" customHeight="1">
      <c r="A56" s="4" t="s">
        <v>22</v>
      </c>
      <c r="B56" s="4">
        <v>15.0</v>
      </c>
      <c r="C56" s="4" t="s">
        <v>42</v>
      </c>
      <c r="D56" s="8" t="s">
        <v>192</v>
      </c>
      <c r="F56" s="15"/>
    </row>
    <row r="57" ht="22.5" customHeight="1">
      <c r="A57" s="4" t="s">
        <v>22</v>
      </c>
      <c r="B57" s="4">
        <v>15.0</v>
      </c>
      <c r="C57" s="4" t="s">
        <v>44</v>
      </c>
      <c r="D57" s="8" t="s">
        <v>192</v>
      </c>
      <c r="F57" s="10"/>
    </row>
    <row r="58" ht="22.5" customHeight="1">
      <c r="A58" s="4" t="s">
        <v>22</v>
      </c>
      <c r="B58" s="4">
        <v>16.0</v>
      </c>
      <c r="C58" s="4" t="s">
        <v>23</v>
      </c>
      <c r="D58" s="8" t="s">
        <v>194</v>
      </c>
      <c r="F58" s="10"/>
    </row>
    <row r="59" ht="22.5" customHeight="1">
      <c r="A59" s="4" t="s">
        <v>22</v>
      </c>
      <c r="B59" s="4">
        <v>16.0</v>
      </c>
      <c r="C59" s="4" t="s">
        <v>28</v>
      </c>
      <c r="D59" s="8" t="s">
        <v>194</v>
      </c>
      <c r="F59" s="10"/>
    </row>
    <row r="60" ht="22.5" customHeight="1">
      <c r="A60" s="4" t="s">
        <v>22</v>
      </c>
      <c r="B60" s="4">
        <v>16.0</v>
      </c>
      <c r="C60" s="4" t="s">
        <v>42</v>
      </c>
      <c r="D60" s="8" t="s">
        <v>198</v>
      </c>
      <c r="F60" s="15" t="s">
        <v>199</v>
      </c>
    </row>
    <row r="61" ht="22.5" customHeight="1">
      <c r="A61" s="4" t="s">
        <v>22</v>
      </c>
      <c r="B61" s="4">
        <v>16.0</v>
      </c>
      <c r="C61" s="4" t="s">
        <v>44</v>
      </c>
      <c r="D61" s="8" t="s">
        <v>198</v>
      </c>
      <c r="F61" s="15" t="s">
        <v>199</v>
      </c>
    </row>
  </sheetData>
  <dataValidations>
    <dataValidation type="list" allowBlank="1" sqref="B2:B61">
      <formula1>"21,22,23,24,25,16,37,40,35,31,39"</formula1>
    </dataValidation>
    <dataValidation type="list" allowBlank="1" sqref="A2:A61">
      <formula1>"Collette,Alexandra,Anna,Michelle,Dave"</formula1>
    </dataValidation>
    <dataValidation type="list" allowBlank="1" sqref="C2:C61">
      <formula1>"1 (H2O + H3O+),2 (H2O + H3O+ + e),3 (H2O + H3O+ + OH-),4 (H2O + H3O+ + OH- + e)),5 (H2O),6 (H2O + e)"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2.75"/>
    <col customWidth="1" min="3" max="4" width="22.63"/>
    <col customWidth="1" min="6" max="6" width="22.63"/>
  </cols>
  <sheetData>
    <row r="1" ht="22.5" customHeight="1">
      <c r="A1" s="1" t="s">
        <v>1</v>
      </c>
      <c r="B1" s="1" t="s">
        <v>12</v>
      </c>
      <c r="C1" s="1" t="s">
        <v>6</v>
      </c>
      <c r="D1" s="1" t="s">
        <v>18</v>
      </c>
      <c r="E1" s="6" t="s">
        <v>20</v>
      </c>
    </row>
    <row r="2" ht="22.5" customHeight="1">
      <c r="A2" s="4" t="s">
        <v>22</v>
      </c>
      <c r="B2" s="4">
        <v>16.0</v>
      </c>
      <c r="C2" s="4">
        <v>1.0</v>
      </c>
      <c r="D2" s="11">
        <v>1325.08</v>
      </c>
      <c r="E2" s="12"/>
    </row>
    <row r="3" ht="22.5" customHeight="1">
      <c r="A3" s="4" t="s">
        <v>22</v>
      </c>
      <c r="B3" s="4">
        <v>16.0</v>
      </c>
      <c r="C3" s="4">
        <v>2.0</v>
      </c>
      <c r="D3" s="11">
        <v>1325.08</v>
      </c>
      <c r="E3" s="12"/>
    </row>
    <row r="4" ht="22.5" customHeight="1">
      <c r="A4" s="4" t="s">
        <v>21</v>
      </c>
      <c r="B4" s="4">
        <v>21.0</v>
      </c>
      <c r="C4" s="4">
        <v>3.0</v>
      </c>
      <c r="D4" s="11">
        <v>1299.4672</v>
      </c>
      <c r="E4" s="12"/>
    </row>
    <row r="5" ht="22.5" customHeight="1">
      <c r="A5" s="4" t="s">
        <v>21</v>
      </c>
      <c r="B5" s="4">
        <v>21.0</v>
      </c>
      <c r="C5" s="4">
        <v>1.0</v>
      </c>
      <c r="D5" s="11">
        <v>1282.6708</v>
      </c>
      <c r="E5" s="12"/>
    </row>
    <row r="6" ht="22.5" customHeight="1">
      <c r="A6" s="4" t="s">
        <v>21</v>
      </c>
      <c r="B6" s="4">
        <v>21.0</v>
      </c>
      <c r="C6" s="4">
        <v>2.0</v>
      </c>
      <c r="D6" s="11">
        <v>1286.0922</v>
      </c>
      <c r="E6" s="12"/>
    </row>
    <row r="7" ht="22.5" customHeight="1">
      <c r="A7" s="4" t="s">
        <v>22</v>
      </c>
      <c r="B7" s="4">
        <v>22.0</v>
      </c>
      <c r="C7" s="4">
        <v>1.0</v>
      </c>
      <c r="D7" s="19">
        <v>1362.99</v>
      </c>
      <c r="E7" s="20"/>
    </row>
    <row r="8" ht="22.5" customHeight="1">
      <c r="A8" s="4" t="s">
        <v>22</v>
      </c>
      <c r="B8" s="4">
        <v>22.0</v>
      </c>
      <c r="C8" s="4">
        <v>2.0</v>
      </c>
      <c r="D8" s="19">
        <v>1334.48</v>
      </c>
      <c r="E8" s="20"/>
    </row>
    <row r="9" ht="22.5" customHeight="1">
      <c r="A9" s="4" t="s">
        <v>22</v>
      </c>
      <c r="B9" s="4">
        <v>22.0</v>
      </c>
      <c r="C9" s="4">
        <v>3.0</v>
      </c>
      <c r="D9" s="19">
        <v>1352.63</v>
      </c>
      <c r="E9" s="20"/>
    </row>
    <row r="10" ht="22.5" customHeight="1">
      <c r="A10" s="4" t="s">
        <v>39</v>
      </c>
      <c r="B10" s="4">
        <v>24.0</v>
      </c>
      <c r="C10" s="4">
        <v>3.0</v>
      </c>
      <c r="D10" s="22">
        <v>1310.74</v>
      </c>
      <c r="E10" s="23"/>
    </row>
    <row r="11" ht="22.5" customHeight="1">
      <c r="A11" s="4" t="s">
        <v>39</v>
      </c>
      <c r="B11" s="4">
        <v>24.0</v>
      </c>
      <c r="C11" s="4">
        <v>1.0</v>
      </c>
      <c r="D11" s="22">
        <v>1308.68</v>
      </c>
      <c r="E11" s="23"/>
    </row>
    <row r="12" ht="22.5" customHeight="1">
      <c r="A12" s="4" t="s">
        <v>39</v>
      </c>
      <c r="B12" s="4">
        <v>24.0</v>
      </c>
      <c r="C12" s="4">
        <v>2.0</v>
      </c>
      <c r="D12" s="22">
        <v>1277.82</v>
      </c>
      <c r="E12" s="23"/>
    </row>
    <row r="13" ht="22.5" customHeight="1">
      <c r="A13" s="4" t="s">
        <v>45</v>
      </c>
      <c r="B13" s="4">
        <v>25.0</v>
      </c>
      <c r="C13" s="4">
        <v>1.0</v>
      </c>
      <c r="D13" s="11">
        <v>1314.0</v>
      </c>
      <c r="E13" s="11" t="s">
        <v>60</v>
      </c>
    </row>
    <row r="14" ht="22.5" customHeight="1">
      <c r="A14" s="4" t="s">
        <v>45</v>
      </c>
      <c r="B14" s="4">
        <v>25.0</v>
      </c>
      <c r="C14" s="4">
        <v>1.0</v>
      </c>
      <c r="D14" s="11">
        <v>1382.0</v>
      </c>
      <c r="E14" s="11" t="s">
        <v>60</v>
      </c>
    </row>
    <row r="15" ht="22.5" customHeight="1">
      <c r="A15" s="4" t="s">
        <v>39</v>
      </c>
      <c r="B15" s="4">
        <v>35.0</v>
      </c>
      <c r="C15" s="4">
        <v>1.0</v>
      </c>
      <c r="D15" s="22">
        <v>1421.62</v>
      </c>
      <c r="E15" s="23"/>
    </row>
    <row r="16" ht="22.5" customHeight="1">
      <c r="A16" s="4" t="s">
        <v>39</v>
      </c>
      <c r="B16" s="4">
        <v>35.0</v>
      </c>
      <c r="C16" s="4">
        <v>2.0</v>
      </c>
      <c r="D16" s="22">
        <v>1426.36</v>
      </c>
      <c r="E16" s="23"/>
    </row>
    <row r="17" ht="22.5" customHeight="1">
      <c r="A17" s="4" t="s">
        <v>21</v>
      </c>
      <c r="B17" s="4">
        <v>37.0</v>
      </c>
      <c r="C17" s="4">
        <v>1.0</v>
      </c>
      <c r="D17" s="11">
        <v>1439.6195</v>
      </c>
      <c r="E17" s="12"/>
    </row>
    <row r="18" ht="22.5" customHeight="1">
      <c r="A18" s="4" t="s">
        <v>21</v>
      </c>
      <c r="B18" s="4">
        <v>37.0</v>
      </c>
      <c r="C18" s="4">
        <v>2.0</v>
      </c>
      <c r="D18" s="11">
        <v>1392.2642</v>
      </c>
      <c r="E18" s="12"/>
    </row>
    <row r="19" ht="22.5" customHeight="1">
      <c r="A19" s="4" t="s">
        <v>45</v>
      </c>
      <c r="B19" s="4">
        <v>40.0</v>
      </c>
      <c r="C19" s="4">
        <v>1.0</v>
      </c>
      <c r="D19" s="11">
        <v>1395.0</v>
      </c>
      <c r="E19" s="11" t="s">
        <v>60</v>
      </c>
    </row>
    <row r="20" ht="22.5" customHeight="1">
      <c r="A20" s="25"/>
      <c r="B20" s="4"/>
      <c r="C20" s="25"/>
      <c r="D20" s="14"/>
      <c r="E20" s="29"/>
    </row>
    <row r="21" ht="22.5" customHeight="1">
      <c r="A21" s="25"/>
      <c r="B21" s="4"/>
      <c r="C21" s="25"/>
      <c r="D21" s="14"/>
      <c r="E21" s="29"/>
    </row>
    <row r="22" ht="22.5" customHeight="1">
      <c r="A22" s="25"/>
      <c r="B22" s="4"/>
      <c r="C22" s="25"/>
      <c r="D22" s="14"/>
      <c r="E22" s="29"/>
    </row>
    <row r="23" ht="22.5" customHeight="1">
      <c r="A23" s="25"/>
      <c r="B23" s="4"/>
      <c r="C23" s="25"/>
      <c r="D23" s="14"/>
      <c r="E23" s="29"/>
    </row>
    <row r="24" ht="22.5" customHeight="1">
      <c r="A24" s="25"/>
      <c r="B24" s="4"/>
      <c r="C24" s="25"/>
      <c r="D24" s="14"/>
      <c r="E24" s="29"/>
    </row>
    <row r="25" ht="22.5" customHeight="1">
      <c r="A25" s="25"/>
      <c r="B25" s="4"/>
      <c r="C25" s="25"/>
      <c r="D25" s="14"/>
      <c r="E25" s="29"/>
    </row>
    <row r="26" ht="22.5" customHeight="1">
      <c r="A26" s="25"/>
      <c r="B26" s="4"/>
      <c r="C26" s="25"/>
      <c r="D26" s="14"/>
      <c r="E26" s="29"/>
    </row>
    <row r="27" ht="22.5" customHeight="1">
      <c r="A27" s="25"/>
      <c r="B27" s="4"/>
      <c r="C27" s="25"/>
      <c r="D27" s="14"/>
      <c r="E27" s="29"/>
    </row>
    <row r="28" ht="22.5" customHeight="1">
      <c r="A28" s="25"/>
      <c r="B28" s="4"/>
      <c r="C28" s="25"/>
      <c r="D28" s="14"/>
      <c r="E28" s="29"/>
    </row>
    <row r="29" ht="22.5" customHeight="1">
      <c r="A29" s="25"/>
      <c r="B29" s="4"/>
      <c r="C29" s="25"/>
      <c r="D29" s="14"/>
      <c r="E29" s="29"/>
    </row>
    <row r="30" ht="22.5" customHeight="1">
      <c r="A30" s="25"/>
      <c r="B30" s="4"/>
      <c r="C30" s="25"/>
      <c r="D30" s="14"/>
      <c r="E30" s="29"/>
    </row>
    <row r="31" ht="22.5" customHeight="1">
      <c r="A31" s="25"/>
      <c r="B31" s="4"/>
      <c r="C31" s="25"/>
      <c r="D31" s="14"/>
      <c r="E31" s="29"/>
    </row>
    <row r="32" ht="22.5" customHeight="1">
      <c r="A32" s="25"/>
      <c r="B32" s="4"/>
      <c r="C32" s="25"/>
      <c r="D32" s="14"/>
      <c r="E32" s="29"/>
    </row>
    <row r="33" ht="22.5" customHeight="1">
      <c r="A33" s="25"/>
      <c r="B33" s="4"/>
      <c r="C33" s="25"/>
      <c r="D33" s="14"/>
      <c r="E33" s="29"/>
    </row>
    <row r="34" ht="22.5" customHeight="1">
      <c r="A34" s="25"/>
      <c r="B34" s="4"/>
      <c r="C34" s="25"/>
      <c r="D34" s="14"/>
      <c r="E34" s="29"/>
    </row>
    <row r="35" ht="22.5" customHeight="1">
      <c r="A35" s="25"/>
      <c r="B35" s="4"/>
      <c r="C35" s="25"/>
      <c r="D35" s="14"/>
      <c r="E35" s="29"/>
    </row>
    <row r="36" ht="22.5" customHeight="1">
      <c r="A36" s="25"/>
      <c r="B36" s="4"/>
      <c r="C36" s="25"/>
      <c r="D36" s="14"/>
      <c r="E36" s="29"/>
    </row>
    <row r="37" ht="22.5" customHeight="1">
      <c r="A37" s="25"/>
      <c r="B37" s="4"/>
      <c r="C37" s="25"/>
      <c r="D37" s="14"/>
      <c r="E37" s="29"/>
    </row>
    <row r="38" ht="22.5" customHeight="1">
      <c r="A38" s="25"/>
      <c r="B38" s="4"/>
      <c r="C38" s="25"/>
      <c r="D38" s="14"/>
      <c r="E38" s="29"/>
    </row>
    <row r="39" ht="22.5" customHeight="1">
      <c r="A39" s="25"/>
      <c r="B39" s="4"/>
      <c r="C39" s="25"/>
      <c r="D39" s="14"/>
      <c r="E39" s="29"/>
    </row>
    <row r="40" ht="22.5" customHeight="1">
      <c r="A40" s="25"/>
      <c r="B40" s="4"/>
      <c r="C40" s="25"/>
      <c r="D40" s="14"/>
      <c r="E40" s="29"/>
    </row>
    <row r="41" ht="22.5" customHeight="1">
      <c r="A41" s="25"/>
      <c r="B41" s="4"/>
      <c r="C41" s="25"/>
      <c r="D41" s="14"/>
      <c r="E41" s="29"/>
    </row>
    <row r="42" ht="22.5" customHeight="1">
      <c r="A42" s="25"/>
      <c r="B42" s="4"/>
      <c r="C42" s="25"/>
      <c r="D42" s="14"/>
      <c r="E42" s="29"/>
    </row>
    <row r="43" ht="22.5" customHeight="1">
      <c r="A43" s="25"/>
      <c r="B43" s="4"/>
      <c r="C43" s="25"/>
      <c r="D43" s="14"/>
      <c r="E43" s="29"/>
    </row>
    <row r="44" ht="22.5" customHeight="1">
      <c r="A44" s="25"/>
      <c r="B44" s="4"/>
      <c r="C44" s="25"/>
      <c r="D44" s="14"/>
      <c r="E44" s="29"/>
    </row>
    <row r="45" ht="22.5" customHeight="1">
      <c r="A45" s="25"/>
      <c r="B45" s="4"/>
      <c r="C45" s="25"/>
      <c r="D45" s="14"/>
      <c r="E45" s="29"/>
    </row>
    <row r="46" ht="22.5" customHeight="1">
      <c r="A46" s="25"/>
      <c r="B46" s="4"/>
      <c r="C46" s="25"/>
      <c r="D46" s="14"/>
      <c r="E46" s="29"/>
    </row>
    <row r="47" ht="22.5" customHeight="1">
      <c r="A47" s="25"/>
      <c r="B47" s="4"/>
      <c r="C47" s="25"/>
      <c r="D47" s="14"/>
      <c r="E47" s="29"/>
    </row>
    <row r="48" ht="22.5" customHeight="1">
      <c r="A48" s="25"/>
      <c r="B48" s="4"/>
      <c r="C48" s="25"/>
      <c r="D48" s="14"/>
      <c r="E48" s="29"/>
    </row>
    <row r="49" ht="22.5" customHeight="1">
      <c r="A49" s="25"/>
      <c r="B49" s="4"/>
      <c r="C49" s="25"/>
      <c r="D49" s="14"/>
      <c r="E49" s="29"/>
    </row>
    <row r="50" ht="22.5" customHeight="1">
      <c r="A50" s="25"/>
      <c r="B50" s="4"/>
      <c r="C50" s="25"/>
      <c r="D50" s="14"/>
      <c r="E50" s="29"/>
    </row>
    <row r="51" ht="22.5" customHeight="1">
      <c r="A51" s="25"/>
      <c r="B51" s="4"/>
      <c r="C51" s="25"/>
      <c r="D51" s="14"/>
      <c r="E51" s="29"/>
    </row>
    <row r="52" ht="22.5" customHeight="1">
      <c r="A52" s="25"/>
      <c r="B52" s="4"/>
      <c r="C52" s="25"/>
      <c r="D52" s="14"/>
      <c r="E52" s="29"/>
    </row>
    <row r="53" ht="22.5" customHeight="1">
      <c r="A53" s="25"/>
      <c r="B53" s="4"/>
      <c r="C53" s="25"/>
      <c r="D53" s="14"/>
      <c r="E53" s="29"/>
    </row>
    <row r="54" ht="22.5" customHeight="1">
      <c r="A54" s="25"/>
      <c r="B54" s="4"/>
      <c r="C54" s="25"/>
      <c r="D54" s="14"/>
      <c r="E54" s="29"/>
    </row>
    <row r="55" ht="22.5" customHeight="1">
      <c r="A55" s="25"/>
      <c r="B55" s="4"/>
      <c r="C55" s="25"/>
      <c r="D55" s="14"/>
      <c r="E55" s="29"/>
    </row>
  </sheetData>
  <dataValidations>
    <dataValidation type="list" allowBlank="1" sqref="B2:B55">
      <formula1>"21,22,23,24,25,16,37,40,35,31"</formula1>
    </dataValidation>
    <dataValidation type="list" allowBlank="1" sqref="A2:A55">
      <formula1>"Collette,Alexandra,Anna,Michelle,Dave"</formula1>
    </dataValidation>
    <dataValidation type="list" allowBlank="1" sqref="C2:C55">
      <formula1>"1,2,3,4"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67</v>
      </c>
    </row>
    <row r="2">
      <c r="A2" s="31"/>
    </row>
    <row r="3">
      <c r="A3" s="30" t="s">
        <v>69</v>
      </c>
    </row>
    <row r="4">
      <c r="A4" s="31"/>
    </row>
    <row r="5">
      <c r="A5" s="30" t="s">
        <v>70</v>
      </c>
    </row>
    <row r="6">
      <c r="A6" s="31"/>
    </row>
    <row r="7">
      <c r="A7" s="30" t="s">
        <v>71</v>
      </c>
    </row>
    <row r="8">
      <c r="A8" s="31"/>
    </row>
    <row r="9">
      <c r="A9" s="30" t="s">
        <v>72</v>
      </c>
    </row>
    <row r="10">
      <c r="A10" s="31"/>
    </row>
    <row r="11">
      <c r="A11" s="30" t="s">
        <v>73</v>
      </c>
    </row>
    <row r="12">
      <c r="A12" s="31"/>
    </row>
    <row r="13">
      <c r="A13" s="30" t="s">
        <v>74</v>
      </c>
    </row>
    <row r="14">
      <c r="A14" s="31"/>
    </row>
    <row r="15">
      <c r="A15" s="30" t="s">
        <v>75</v>
      </c>
    </row>
    <row r="16">
      <c r="A16" s="31"/>
    </row>
    <row r="17">
      <c r="A17" s="30" t="s">
        <v>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3" max="3" width="14.13"/>
    <col customWidth="1" min="4" max="4" width="16.75"/>
    <col customWidth="1" min="9" max="9" width="20.75"/>
  </cols>
  <sheetData>
    <row r="1">
      <c r="A1" s="33" t="s">
        <v>3</v>
      </c>
      <c r="B1" s="33" t="s">
        <v>79</v>
      </c>
      <c r="C1" s="33" t="s">
        <v>80</v>
      </c>
      <c r="D1" s="33" t="s">
        <v>81</v>
      </c>
      <c r="E1" s="33" t="s">
        <v>82</v>
      </c>
      <c r="G1" s="33" t="s">
        <v>83</v>
      </c>
      <c r="K1" s="33" t="s">
        <v>84</v>
      </c>
      <c r="L1" s="33">
        <v>27.2114079527</v>
      </c>
      <c r="M1" s="33" t="s">
        <v>85</v>
      </c>
      <c r="N1" s="34" t="s">
        <v>86</v>
      </c>
      <c r="O1" s="35" t="s">
        <v>87</v>
      </c>
      <c r="P1" s="35" t="s">
        <v>88</v>
      </c>
      <c r="Q1" s="36"/>
      <c r="R1" s="35"/>
      <c r="S1" s="35" t="s">
        <v>89</v>
      </c>
      <c r="T1" s="37" t="s">
        <v>90</v>
      </c>
    </row>
    <row r="2">
      <c r="A2" s="33" t="s">
        <v>91</v>
      </c>
      <c r="B2" s="33">
        <v>-1682.55388985</v>
      </c>
      <c r="C2" s="33">
        <v>0.571863</v>
      </c>
      <c r="D2" s="33">
        <v>-1681.982027</v>
      </c>
      <c r="E2" s="33" t="s">
        <v>92</v>
      </c>
      <c r="G2" s="38">
        <v>1.0</v>
      </c>
      <c r="H2" s="39">
        <v>40399.0</v>
      </c>
      <c r="I2" s="38" t="s">
        <v>93</v>
      </c>
      <c r="K2" s="33" t="s">
        <v>94</v>
      </c>
      <c r="L2" s="33">
        <f>C3-C2</f>
        <v>-0.006847</v>
      </c>
      <c r="N2" s="40" t="s">
        <v>95</v>
      </c>
      <c r="O2" s="33">
        <v>358.84939</v>
      </c>
      <c r="P2" s="41">
        <f t="shared" ref="P2:P7" si="1">O2/23.0605</f>
        <v>15.56121463</v>
      </c>
      <c r="Q2" s="42"/>
      <c r="R2" s="43" t="s">
        <v>96</v>
      </c>
      <c r="S2" s="43"/>
      <c r="T2" s="33">
        <v>-1682.55388985</v>
      </c>
    </row>
    <row r="3">
      <c r="A3" s="33" t="s">
        <v>97</v>
      </c>
      <c r="B3" s="33">
        <v>-1682.649791</v>
      </c>
      <c r="C3" s="33">
        <v>0.565016</v>
      </c>
      <c r="D3" s="33">
        <v>-1682.084775</v>
      </c>
      <c r="E3" s="33">
        <v>-1682.64839578</v>
      </c>
      <c r="G3" s="38">
        <v>2.0</v>
      </c>
      <c r="H3" s="39">
        <v>42893.0</v>
      </c>
      <c r="I3" s="38" t="s">
        <v>98</v>
      </c>
      <c r="K3" s="33" t="s">
        <v>27</v>
      </c>
      <c r="L3" s="44">
        <f>(B4+L2)*L$1</f>
        <v>-2.757955925</v>
      </c>
      <c r="N3" s="40" t="s">
        <v>99</v>
      </c>
      <c r="O3" s="33">
        <v>354.55304</v>
      </c>
      <c r="P3" s="41">
        <f t="shared" si="1"/>
        <v>15.37490688</v>
      </c>
      <c r="Q3" s="42"/>
      <c r="R3" s="43" t="s">
        <v>100</v>
      </c>
      <c r="S3" s="33">
        <v>-1682.64839578</v>
      </c>
      <c r="T3" s="33">
        <v>-1682.649791</v>
      </c>
    </row>
    <row r="4">
      <c r="A4" s="33" t="s">
        <v>27</v>
      </c>
      <c r="B4" s="33">
        <f>E3-B2</f>
        <v>-0.09450593</v>
      </c>
      <c r="C4" s="33" t="s">
        <v>101</v>
      </c>
      <c r="E4" s="33"/>
      <c r="G4" s="38">
        <v>3.0</v>
      </c>
      <c r="H4" s="38" t="s">
        <v>102</v>
      </c>
      <c r="I4" s="38" t="s">
        <v>103</v>
      </c>
      <c r="K4" s="33" t="s">
        <v>104</v>
      </c>
      <c r="L4" s="44">
        <f>(B5+L2)*L$1</f>
        <v>-2.795921826</v>
      </c>
      <c r="N4" s="40" t="s">
        <v>105</v>
      </c>
      <c r="O4" s="33">
        <v>349.77491</v>
      </c>
      <c r="P4" s="41">
        <f t="shared" si="1"/>
        <v>15.16770712</v>
      </c>
      <c r="Q4" s="42"/>
      <c r="R4" s="43" t="s">
        <v>106</v>
      </c>
      <c r="S4" s="43"/>
      <c r="T4" s="45">
        <v>-1681.853431</v>
      </c>
    </row>
    <row r="5">
      <c r="A5" s="33" t="s">
        <v>107</v>
      </c>
      <c r="B5" s="33">
        <f>B3-B2</f>
        <v>-0.09590115</v>
      </c>
      <c r="C5" s="33" t="s">
        <v>101</v>
      </c>
      <c r="E5" s="33"/>
      <c r="G5" s="38">
        <v>4.0</v>
      </c>
      <c r="H5" s="38" t="s">
        <v>108</v>
      </c>
      <c r="I5" s="38" t="s">
        <v>109</v>
      </c>
      <c r="N5" s="40" t="s">
        <v>110</v>
      </c>
      <c r="O5" s="33">
        <v>351.61713</v>
      </c>
      <c r="P5" s="41">
        <f t="shared" si="1"/>
        <v>15.2475935</v>
      </c>
      <c r="Q5" s="42"/>
      <c r="R5" s="43" t="s">
        <v>111</v>
      </c>
      <c r="S5" s="33">
        <v>-1682.030145</v>
      </c>
      <c r="T5" s="33">
        <v>-1682.157293</v>
      </c>
    </row>
    <row r="6">
      <c r="A6" s="33"/>
      <c r="B6" s="33"/>
      <c r="C6" s="33"/>
      <c r="D6" s="33"/>
      <c r="E6" s="33"/>
      <c r="G6" s="38">
        <v>5.0</v>
      </c>
      <c r="H6" s="39">
        <v>41590.0</v>
      </c>
      <c r="I6" s="38" t="s">
        <v>112</v>
      </c>
      <c r="K6" s="33" t="s">
        <v>113</v>
      </c>
      <c r="L6" s="33">
        <v>23.0621</v>
      </c>
      <c r="M6" s="33" t="s">
        <v>114</v>
      </c>
      <c r="N6" s="40" t="s">
        <v>115</v>
      </c>
      <c r="O6" s="33">
        <v>334.99382</v>
      </c>
      <c r="P6" s="41">
        <f t="shared" si="1"/>
        <v>14.52673706</v>
      </c>
      <c r="Q6" s="42"/>
      <c r="R6" s="43" t="s">
        <v>116</v>
      </c>
      <c r="S6" s="43"/>
      <c r="T6" s="45">
        <v>-1605.687507</v>
      </c>
    </row>
    <row r="7">
      <c r="A7" s="33"/>
      <c r="B7" s="33"/>
      <c r="C7" s="33"/>
      <c r="D7" s="33"/>
      <c r="E7" s="33"/>
      <c r="G7" s="38">
        <v>6.0</v>
      </c>
      <c r="H7" s="46">
        <v>38415.0</v>
      </c>
      <c r="I7" s="38" t="s">
        <v>117</v>
      </c>
      <c r="N7" s="40" t="s">
        <v>118</v>
      </c>
      <c r="O7" s="33">
        <v>332.33217</v>
      </c>
      <c r="P7" s="41">
        <f t="shared" si="1"/>
        <v>14.41131675</v>
      </c>
      <c r="Q7" s="42"/>
      <c r="R7" s="43" t="s">
        <v>119</v>
      </c>
      <c r="S7" s="33">
        <v>-1605.697265</v>
      </c>
      <c r="T7" s="33">
        <v>-1605.701083</v>
      </c>
    </row>
    <row r="8">
      <c r="A8" s="33"/>
      <c r="B8" s="33"/>
      <c r="C8" s="33"/>
      <c r="D8" s="33"/>
      <c r="E8" s="33"/>
      <c r="G8" s="38">
        <v>7.0</v>
      </c>
      <c r="H8" s="38" t="s">
        <v>120</v>
      </c>
      <c r="I8" s="38" t="s">
        <v>121</v>
      </c>
      <c r="N8" s="47"/>
      <c r="O8" s="42"/>
      <c r="P8" s="42"/>
      <c r="Q8" s="42"/>
      <c r="R8" s="42"/>
      <c r="S8" s="42"/>
      <c r="T8" s="48"/>
    </row>
    <row r="9">
      <c r="A9" s="33"/>
      <c r="B9" s="33"/>
      <c r="C9" s="33"/>
      <c r="D9" s="33"/>
      <c r="E9" s="33"/>
      <c r="G9" s="38">
        <v>8.0</v>
      </c>
      <c r="H9" s="38" t="s">
        <v>122</v>
      </c>
      <c r="I9" s="38" t="s">
        <v>123</v>
      </c>
      <c r="N9" s="40" t="s">
        <v>124</v>
      </c>
      <c r="O9" s="43" t="s">
        <v>125</v>
      </c>
      <c r="P9" s="43" t="s">
        <v>126</v>
      </c>
      <c r="Q9" s="42"/>
      <c r="R9" s="42"/>
      <c r="S9" s="42"/>
      <c r="T9" s="48"/>
    </row>
    <row r="10">
      <c r="A10" s="33"/>
      <c r="B10" s="33"/>
      <c r="C10" s="33"/>
      <c r="D10" s="33"/>
      <c r="E10" s="33"/>
      <c r="G10" s="38">
        <v>9.0</v>
      </c>
      <c r="H10" s="38" t="s">
        <v>127</v>
      </c>
      <c r="I10" s="38" t="s">
        <v>128</v>
      </c>
      <c r="N10" s="40" t="s">
        <v>94</v>
      </c>
      <c r="O10" s="42"/>
      <c r="P10" s="41">
        <f>P3-P2</f>
        <v>-0.1863077557</v>
      </c>
      <c r="Q10" s="42"/>
      <c r="R10" s="42"/>
      <c r="S10" s="42"/>
      <c r="T10" s="48"/>
    </row>
    <row r="11">
      <c r="A11" s="33"/>
      <c r="B11" s="33"/>
      <c r="C11" s="33"/>
      <c r="D11" s="33"/>
      <c r="E11" s="33"/>
      <c r="G11" s="38">
        <v>10.0</v>
      </c>
      <c r="H11" s="39">
        <v>44198.0</v>
      </c>
      <c r="I11" s="38" t="s">
        <v>129</v>
      </c>
      <c r="N11" s="40" t="s">
        <v>130</v>
      </c>
      <c r="O11" s="41">
        <f>S3-T2</f>
        <v>-0.09450593</v>
      </c>
      <c r="P11" s="41">
        <f>O11*27.2114</f>
        <v>-2.571638664</v>
      </c>
      <c r="Q11" s="42"/>
      <c r="R11" s="42"/>
      <c r="S11" s="42"/>
      <c r="T11" s="48"/>
    </row>
    <row r="12">
      <c r="A12" s="33"/>
      <c r="B12" s="33"/>
      <c r="C12" s="33"/>
      <c r="D12" s="33"/>
      <c r="E12" s="33"/>
      <c r="G12" s="38">
        <v>11.0</v>
      </c>
      <c r="H12" s="38" t="s">
        <v>131</v>
      </c>
      <c r="I12" s="38" t="s">
        <v>132</v>
      </c>
      <c r="N12" s="40" t="s">
        <v>133</v>
      </c>
      <c r="O12" s="42"/>
      <c r="P12" s="49">
        <f>P11+P10</f>
        <v>-2.757946419</v>
      </c>
      <c r="Q12" s="43" t="s">
        <v>134</v>
      </c>
      <c r="R12" s="42"/>
      <c r="S12" s="42"/>
      <c r="T12" s="48"/>
    </row>
    <row r="13">
      <c r="A13" s="33"/>
      <c r="B13" s="33"/>
      <c r="C13" s="33"/>
      <c r="D13" s="33"/>
      <c r="E13" s="33"/>
      <c r="G13" s="38">
        <v>12.0</v>
      </c>
      <c r="H13" s="38" t="s">
        <v>135</v>
      </c>
      <c r="I13" s="38" t="s">
        <v>136</v>
      </c>
      <c r="N13" s="40" t="s">
        <v>137</v>
      </c>
      <c r="O13" s="41">
        <f>T3-T2</f>
        <v>-0.09590115</v>
      </c>
      <c r="P13" s="41">
        <f>O13*27.2114</f>
        <v>-2.609604553</v>
      </c>
      <c r="Q13" s="42"/>
      <c r="R13" s="42"/>
      <c r="S13" s="42"/>
      <c r="T13" s="48"/>
    </row>
    <row r="14">
      <c r="A14" s="33"/>
      <c r="B14" s="33"/>
      <c r="C14" s="33"/>
      <c r="D14" s="33"/>
      <c r="E14" s="33"/>
      <c r="G14" s="38">
        <v>13.0</v>
      </c>
      <c r="H14" s="38" t="s">
        <v>138</v>
      </c>
      <c r="I14" s="38" t="s">
        <v>139</v>
      </c>
      <c r="N14" s="40" t="s">
        <v>133</v>
      </c>
      <c r="O14" s="42"/>
      <c r="P14" s="49">
        <f>P13+P10</f>
        <v>-2.795912309</v>
      </c>
      <c r="Q14" s="43" t="s">
        <v>9</v>
      </c>
      <c r="R14" s="42"/>
      <c r="S14" s="42"/>
      <c r="T14" s="48"/>
    </row>
    <row r="15">
      <c r="A15" s="33"/>
      <c r="B15" s="33"/>
      <c r="C15" s="33"/>
      <c r="D15" s="33"/>
      <c r="E15" s="33"/>
      <c r="G15" s="38">
        <v>14.0</v>
      </c>
      <c r="H15" s="38" t="s">
        <v>140</v>
      </c>
      <c r="I15" s="50" t="s">
        <v>141</v>
      </c>
      <c r="N15" s="47"/>
      <c r="O15" s="42"/>
      <c r="P15" s="42"/>
      <c r="Q15" s="42"/>
      <c r="R15" s="42"/>
      <c r="S15" s="42"/>
      <c r="T15" s="48"/>
    </row>
    <row r="16">
      <c r="A16" s="33"/>
      <c r="B16" s="33"/>
      <c r="C16" s="33"/>
      <c r="D16" s="33"/>
      <c r="E16" s="33"/>
      <c r="G16" s="38">
        <v>15.0</v>
      </c>
      <c r="H16" s="38" t="s">
        <v>142</v>
      </c>
      <c r="I16" s="38" t="s">
        <v>143</v>
      </c>
      <c r="N16" s="47"/>
      <c r="O16" s="42"/>
      <c r="P16" s="42"/>
      <c r="Q16" s="42"/>
      <c r="R16" s="42"/>
      <c r="S16" s="42"/>
      <c r="T16" s="48"/>
    </row>
    <row r="17">
      <c r="A17" s="33"/>
      <c r="B17" s="33"/>
      <c r="C17" s="33"/>
      <c r="D17" s="33"/>
      <c r="E17" s="33"/>
      <c r="G17" s="38">
        <v>16.0</v>
      </c>
      <c r="H17" s="38" t="s">
        <v>145</v>
      </c>
      <c r="I17" s="38" t="s">
        <v>146</v>
      </c>
      <c r="N17" s="40" t="s">
        <v>147</v>
      </c>
      <c r="O17" s="43" t="s">
        <v>125</v>
      </c>
      <c r="P17" s="43" t="s">
        <v>126</v>
      </c>
      <c r="Q17" s="42"/>
      <c r="R17" s="42"/>
      <c r="S17" s="42"/>
      <c r="T17" s="48"/>
    </row>
    <row r="18">
      <c r="A18" s="33"/>
      <c r="B18" s="33"/>
      <c r="C18" s="33"/>
      <c r="D18" s="33"/>
      <c r="E18" s="33"/>
      <c r="G18" s="38">
        <v>17.0</v>
      </c>
      <c r="H18" s="38" t="s">
        <v>148</v>
      </c>
      <c r="I18" s="38" t="s">
        <v>149</v>
      </c>
      <c r="N18" s="40" t="s">
        <v>150</v>
      </c>
      <c r="O18" s="42"/>
      <c r="P18" s="41">
        <f>P5-P4</f>
        <v>0.07988638581</v>
      </c>
      <c r="Q18" s="42"/>
      <c r="R18" s="42"/>
      <c r="S18" s="42"/>
      <c r="T18" s="48"/>
    </row>
    <row r="19">
      <c r="A19" s="33"/>
      <c r="B19" s="33"/>
      <c r="C19" s="33"/>
      <c r="D19" s="33"/>
      <c r="E19" s="33"/>
      <c r="G19" s="38">
        <v>18.0</v>
      </c>
      <c r="H19" s="38" t="s">
        <v>151</v>
      </c>
      <c r="I19" s="38" t="s">
        <v>152</v>
      </c>
      <c r="N19" s="40" t="s">
        <v>130</v>
      </c>
      <c r="O19" s="41">
        <f>S5-T4</f>
        <v>-0.176714</v>
      </c>
      <c r="P19" s="41">
        <f>O19*27.2114</f>
        <v>-4.80863534</v>
      </c>
      <c r="Q19" s="42"/>
      <c r="R19" s="42"/>
      <c r="S19" s="42"/>
      <c r="T19" s="48"/>
    </row>
    <row r="20">
      <c r="A20" s="33"/>
      <c r="B20" s="33"/>
      <c r="C20" s="33"/>
      <c r="D20" s="33"/>
      <c r="E20" s="33"/>
      <c r="G20" s="38">
        <v>19.0</v>
      </c>
      <c r="H20" s="38" t="s">
        <v>153</v>
      </c>
      <c r="I20" s="38" t="s">
        <v>154</v>
      </c>
      <c r="N20" s="40" t="s">
        <v>133</v>
      </c>
      <c r="O20" s="42"/>
      <c r="P20" s="49">
        <f>P19+P18</f>
        <v>-4.728748954</v>
      </c>
      <c r="Q20" s="43" t="s">
        <v>134</v>
      </c>
      <c r="R20" s="42"/>
      <c r="S20" s="42"/>
      <c r="T20" s="48"/>
    </row>
    <row r="21">
      <c r="A21" s="33"/>
      <c r="B21" s="33"/>
      <c r="C21" s="33"/>
      <c r="D21" s="33"/>
      <c r="E21" s="33"/>
      <c r="G21" s="38">
        <v>20.0</v>
      </c>
      <c r="H21" s="38" t="s">
        <v>156</v>
      </c>
      <c r="I21" s="38" t="s">
        <v>157</v>
      </c>
      <c r="N21" s="40" t="s">
        <v>137</v>
      </c>
      <c r="O21" s="41">
        <f>T5-T4</f>
        <v>-0.303862</v>
      </c>
      <c r="P21" s="41">
        <f>O21*27.2114</f>
        <v>-8.268510427</v>
      </c>
      <c r="Q21" s="42"/>
      <c r="R21" s="42"/>
      <c r="S21" s="42"/>
      <c r="T21" s="48"/>
    </row>
    <row r="22">
      <c r="A22" s="33"/>
      <c r="B22" s="33"/>
      <c r="C22" s="33"/>
      <c r="D22" s="33"/>
      <c r="E22" s="33"/>
      <c r="G22" s="38">
        <v>21.0</v>
      </c>
      <c r="H22" s="51" t="s">
        <v>158</v>
      </c>
      <c r="I22" s="51" t="s">
        <v>159</v>
      </c>
      <c r="N22" s="40" t="s">
        <v>133</v>
      </c>
      <c r="O22" s="42"/>
      <c r="P22" s="49">
        <f>P21+P18</f>
        <v>-8.188624041</v>
      </c>
      <c r="Q22" s="43" t="s">
        <v>9</v>
      </c>
      <c r="R22" s="42"/>
      <c r="S22" s="42"/>
      <c r="T22" s="48"/>
    </row>
    <row r="23">
      <c r="A23" s="45" t="s">
        <v>160</v>
      </c>
      <c r="B23" s="45">
        <v>-1681.853431</v>
      </c>
      <c r="C23" s="45">
        <v>0.557402</v>
      </c>
      <c r="D23" s="52"/>
      <c r="E23" s="45"/>
      <c r="F23" s="52"/>
      <c r="G23" s="53"/>
      <c r="H23" s="53"/>
      <c r="I23" s="53"/>
      <c r="J23" s="52"/>
      <c r="K23" s="45" t="s">
        <v>94</v>
      </c>
      <c r="L23" s="45">
        <f>C24-C23</f>
        <v>0.002936</v>
      </c>
      <c r="M23" s="52"/>
      <c r="N23" s="47"/>
      <c r="O23" s="42"/>
      <c r="P23" s="42"/>
      <c r="Q23" s="42"/>
      <c r="R23" s="42"/>
      <c r="S23" s="42"/>
      <c r="T23" s="48"/>
      <c r="U23" s="52"/>
      <c r="V23" s="52"/>
      <c r="W23" s="52"/>
      <c r="X23" s="52"/>
      <c r="Y23" s="52"/>
      <c r="Z23" s="52"/>
    </row>
    <row r="24">
      <c r="A24" s="33" t="s">
        <v>161</v>
      </c>
      <c r="B24" s="33">
        <v>-1682.157293</v>
      </c>
      <c r="C24" s="33">
        <v>0.560338</v>
      </c>
      <c r="E24" s="33">
        <v>-1682.030145</v>
      </c>
      <c r="G24" s="54"/>
      <c r="H24" s="54"/>
      <c r="I24" s="54"/>
      <c r="K24" s="33" t="s">
        <v>27</v>
      </c>
      <c r="L24" s="44">
        <f>(B25+L23)*L$1</f>
        <v>-4.728744051</v>
      </c>
      <c r="N24" s="40" t="s">
        <v>163</v>
      </c>
      <c r="O24" s="42"/>
      <c r="P24" s="42"/>
      <c r="Q24" s="42"/>
      <c r="R24" s="42"/>
      <c r="S24" s="42"/>
      <c r="T24" s="48"/>
    </row>
    <row r="25">
      <c r="A25" s="33" t="s">
        <v>27</v>
      </c>
      <c r="B25" s="33">
        <f>E24-B23</f>
        <v>-0.176714</v>
      </c>
      <c r="C25" s="33" t="s">
        <v>101</v>
      </c>
      <c r="E25" s="33"/>
      <c r="G25" s="54"/>
      <c r="H25" s="54"/>
      <c r="I25" s="54"/>
      <c r="K25" s="33" t="s">
        <v>104</v>
      </c>
      <c r="L25" s="44">
        <f>(B26+L23)*L$1</f>
        <v>-8.18862015</v>
      </c>
      <c r="N25" s="40" t="s">
        <v>150</v>
      </c>
      <c r="O25" s="42"/>
      <c r="P25" s="41">
        <f>P7-P6</f>
        <v>-0.1154203075</v>
      </c>
      <c r="Q25" s="42"/>
      <c r="R25" s="42"/>
      <c r="S25" s="42"/>
      <c r="T25" s="48"/>
    </row>
    <row r="26">
      <c r="A26" s="33" t="s">
        <v>107</v>
      </c>
      <c r="B26" s="33">
        <f>B24-B23</f>
        <v>-0.303862</v>
      </c>
      <c r="C26" s="33" t="s">
        <v>101</v>
      </c>
      <c r="E26" s="33"/>
      <c r="G26" s="54"/>
      <c r="H26" s="54"/>
      <c r="I26" s="54"/>
      <c r="N26" s="40" t="s">
        <v>130</v>
      </c>
      <c r="O26" s="41">
        <f>S7-T6</f>
        <v>-0.009758</v>
      </c>
      <c r="P26" s="41">
        <f>O26*27.2114</f>
        <v>-0.2655288412</v>
      </c>
      <c r="Q26" s="42"/>
      <c r="R26" s="42"/>
      <c r="S26" s="42"/>
      <c r="T26" s="48"/>
    </row>
    <row r="27">
      <c r="A27" s="33"/>
      <c r="B27" s="33"/>
      <c r="C27" s="33"/>
      <c r="D27" s="33"/>
      <c r="E27" s="33"/>
      <c r="G27" s="54"/>
      <c r="H27" s="54"/>
      <c r="I27" s="54"/>
      <c r="N27" s="40" t="s">
        <v>133</v>
      </c>
      <c r="O27" s="42"/>
      <c r="P27" s="49">
        <f>P26+P25</f>
        <v>-0.3809491486</v>
      </c>
      <c r="Q27" s="43" t="s">
        <v>134</v>
      </c>
      <c r="R27" s="42"/>
      <c r="S27" s="42"/>
      <c r="T27" s="48"/>
    </row>
    <row r="28">
      <c r="A28" s="33"/>
      <c r="B28" s="33"/>
      <c r="C28" s="33"/>
      <c r="D28" s="33"/>
      <c r="E28" s="33"/>
      <c r="G28" s="54"/>
      <c r="H28" s="54"/>
      <c r="I28" s="54"/>
      <c r="N28" s="40" t="s">
        <v>137</v>
      </c>
      <c r="O28" s="41">
        <f>T7-T6</f>
        <v>-0.013576</v>
      </c>
      <c r="P28" s="41">
        <f>O28*27.2114</f>
        <v>-0.3694219664</v>
      </c>
      <c r="Q28" s="42"/>
      <c r="R28" s="42"/>
      <c r="S28" s="42"/>
      <c r="T28" s="48"/>
    </row>
    <row r="29">
      <c r="A29" s="33"/>
      <c r="B29" s="33"/>
      <c r="C29" s="33"/>
      <c r="D29" s="33"/>
      <c r="E29" s="33"/>
      <c r="G29" s="54"/>
      <c r="H29" s="54"/>
      <c r="I29" s="54"/>
      <c r="N29" s="55" t="s">
        <v>133</v>
      </c>
      <c r="O29" s="56"/>
      <c r="P29" s="57">
        <f>P28+P25</f>
        <v>-0.4848422738</v>
      </c>
      <c r="Q29" s="58" t="s">
        <v>9</v>
      </c>
      <c r="R29" s="56"/>
      <c r="S29" s="56"/>
      <c r="T29" s="59"/>
    </row>
    <row r="30">
      <c r="A30" s="45" t="s">
        <v>167</v>
      </c>
      <c r="B30" s="45">
        <v>-1605.687507</v>
      </c>
      <c r="C30" s="45">
        <v>0.533847</v>
      </c>
      <c r="D30" s="45">
        <v>-1605.15366</v>
      </c>
      <c r="E30" s="45" t="s">
        <v>92</v>
      </c>
      <c r="F30" s="52"/>
      <c r="G30" s="45" t="s">
        <v>83</v>
      </c>
      <c r="H30" s="60"/>
      <c r="I30" s="45"/>
      <c r="J30" s="52"/>
      <c r="K30" s="45" t="s">
        <v>94</v>
      </c>
      <c r="L30" s="45">
        <f>C31-C30</f>
        <v>-0.004242</v>
      </c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>
      <c r="A31" s="33" t="s">
        <v>168</v>
      </c>
      <c r="B31" s="33">
        <v>-1605.701083</v>
      </c>
      <c r="C31" s="33">
        <v>0.529605</v>
      </c>
      <c r="D31" s="33">
        <v>-1605.171478</v>
      </c>
      <c r="E31" s="33">
        <v>-1605.697265</v>
      </c>
      <c r="G31" s="38">
        <v>1.0</v>
      </c>
      <c r="H31" s="39">
        <v>40399.0</v>
      </c>
      <c r="I31" s="38" t="s">
        <v>169</v>
      </c>
      <c r="K31" s="33" t="s">
        <v>27</v>
      </c>
      <c r="L31" s="44">
        <f>(B32+L30)*L$1</f>
        <v>-0.3809597113</v>
      </c>
    </row>
    <row r="32">
      <c r="A32" s="33" t="s">
        <v>27</v>
      </c>
      <c r="B32" s="33">
        <f>E31-B30</f>
        <v>-0.009758</v>
      </c>
      <c r="C32" s="33" t="s">
        <v>170</v>
      </c>
      <c r="G32" s="38">
        <v>2.0</v>
      </c>
      <c r="H32" s="39">
        <v>42893.0</v>
      </c>
      <c r="I32" s="38" t="s">
        <v>171</v>
      </c>
      <c r="K32" s="33" t="s">
        <v>104</v>
      </c>
      <c r="L32" s="44">
        <f>(B33+L30)*L$1</f>
        <v>-0.4848528669</v>
      </c>
    </row>
    <row r="33">
      <c r="A33" s="33" t="s">
        <v>107</v>
      </c>
      <c r="B33" s="33">
        <f>B31-B30</f>
        <v>-0.013576</v>
      </c>
      <c r="C33" s="33" t="s">
        <v>170</v>
      </c>
      <c r="G33" s="38">
        <v>3.0</v>
      </c>
      <c r="H33" s="38" t="s">
        <v>102</v>
      </c>
      <c r="I33" s="38" t="s">
        <v>172</v>
      </c>
    </row>
    <row r="34">
      <c r="G34" s="38">
        <v>4.0</v>
      </c>
      <c r="H34" s="38" t="s">
        <v>108</v>
      </c>
      <c r="I34" s="38" t="s">
        <v>173</v>
      </c>
      <c r="K34" s="33"/>
    </row>
    <row r="35">
      <c r="G35" s="38">
        <v>5.0</v>
      </c>
      <c r="H35" s="61" t="s">
        <v>174</v>
      </c>
      <c r="I35" s="38" t="s">
        <v>175</v>
      </c>
    </row>
    <row r="36">
      <c r="G36" s="38">
        <v>6.0</v>
      </c>
      <c r="H36" s="46">
        <v>38415.0</v>
      </c>
      <c r="I36" s="38" t="s">
        <v>176</v>
      </c>
    </row>
    <row r="37">
      <c r="G37" s="38">
        <v>7.0</v>
      </c>
      <c r="H37" s="38" t="s">
        <v>120</v>
      </c>
      <c r="I37" s="38" t="s">
        <v>177</v>
      </c>
    </row>
    <row r="38">
      <c r="G38" s="38">
        <v>8.0</v>
      </c>
      <c r="H38" s="38" t="s">
        <v>122</v>
      </c>
      <c r="I38" s="38" t="s">
        <v>178</v>
      </c>
    </row>
    <row r="39">
      <c r="G39" s="38">
        <v>9.0</v>
      </c>
      <c r="H39" s="38" t="s">
        <v>127</v>
      </c>
      <c r="I39" s="38" t="s">
        <v>179</v>
      </c>
    </row>
    <row r="40">
      <c r="G40" s="38">
        <v>10.0</v>
      </c>
      <c r="H40" s="39">
        <v>44198.0</v>
      </c>
      <c r="I40" s="38" t="s">
        <v>180</v>
      </c>
    </row>
    <row r="41">
      <c r="G41" s="38">
        <v>11.0</v>
      </c>
      <c r="H41" s="38" t="s">
        <v>131</v>
      </c>
      <c r="I41" s="38" t="s">
        <v>181</v>
      </c>
    </row>
    <row r="42">
      <c r="G42" s="38">
        <v>12.0</v>
      </c>
      <c r="H42" s="38" t="s">
        <v>135</v>
      </c>
      <c r="I42" s="38" t="s">
        <v>182</v>
      </c>
    </row>
    <row r="43">
      <c r="G43" s="38">
        <v>13.0</v>
      </c>
      <c r="H43" s="38" t="s">
        <v>138</v>
      </c>
      <c r="I43" s="38" t="s">
        <v>183</v>
      </c>
    </row>
    <row r="44">
      <c r="G44" s="38">
        <v>14.0</v>
      </c>
      <c r="H44" s="38" t="s">
        <v>140</v>
      </c>
      <c r="I44" s="38" t="s">
        <v>184</v>
      </c>
    </row>
    <row r="45">
      <c r="G45" s="38">
        <v>15.0</v>
      </c>
      <c r="H45" s="38" t="s">
        <v>142</v>
      </c>
      <c r="I45" s="38" t="s">
        <v>186</v>
      </c>
    </row>
    <row r="46">
      <c r="G46" s="38">
        <v>16.0</v>
      </c>
      <c r="H46" s="38" t="s">
        <v>145</v>
      </c>
      <c r="I46" s="38" t="s">
        <v>187</v>
      </c>
    </row>
    <row r="47">
      <c r="G47" s="38">
        <v>17.0</v>
      </c>
      <c r="H47" s="38" t="s">
        <v>148</v>
      </c>
      <c r="I47" s="38" t="s">
        <v>188</v>
      </c>
    </row>
    <row r="48">
      <c r="G48" s="38">
        <v>18.0</v>
      </c>
      <c r="H48" s="38" t="s">
        <v>151</v>
      </c>
      <c r="I48" s="38" t="s">
        <v>189</v>
      </c>
    </row>
    <row r="49">
      <c r="G49" s="38">
        <v>19.0</v>
      </c>
      <c r="H49" s="38" t="s">
        <v>153</v>
      </c>
      <c r="I49" s="38" t="s">
        <v>190</v>
      </c>
    </row>
    <row r="50">
      <c r="G50" s="38">
        <v>20.0</v>
      </c>
      <c r="H50" s="38" t="s">
        <v>156</v>
      </c>
      <c r="I50" s="38" t="s">
        <v>191</v>
      </c>
    </row>
    <row r="51">
      <c r="G51" s="38">
        <v>21.0</v>
      </c>
      <c r="H51" s="38" t="s">
        <v>158</v>
      </c>
      <c r="I51" s="38" t="s">
        <v>193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4.25"/>
    <col customWidth="1" min="5" max="5" width="19.63"/>
  </cols>
  <sheetData>
    <row r="1">
      <c r="A1" s="33" t="s">
        <v>3</v>
      </c>
      <c r="B1" s="33" t="s">
        <v>195</v>
      </c>
      <c r="C1" s="33" t="s">
        <v>80</v>
      </c>
      <c r="D1" s="33" t="s">
        <v>81</v>
      </c>
      <c r="E1" s="33" t="s">
        <v>82</v>
      </c>
      <c r="G1" s="33" t="s">
        <v>83</v>
      </c>
      <c r="K1" s="33" t="s">
        <v>84</v>
      </c>
      <c r="L1" s="33">
        <v>27.2114079527</v>
      </c>
      <c r="M1" s="33" t="s">
        <v>85</v>
      </c>
      <c r="N1" s="34" t="s">
        <v>86</v>
      </c>
      <c r="O1" s="35" t="s">
        <v>87</v>
      </c>
      <c r="P1" s="35" t="s">
        <v>88</v>
      </c>
      <c r="Q1" s="36"/>
      <c r="R1" s="35"/>
      <c r="S1" s="35" t="s">
        <v>89</v>
      </c>
      <c r="T1" s="37" t="s">
        <v>90</v>
      </c>
    </row>
    <row r="2">
      <c r="A2" s="33" t="s">
        <v>196</v>
      </c>
      <c r="B2" s="33">
        <v>-2905.98429</v>
      </c>
      <c r="C2" s="33">
        <v>0.982827</v>
      </c>
      <c r="D2" s="33">
        <v>-2905.001463</v>
      </c>
      <c r="E2" s="33" t="s">
        <v>92</v>
      </c>
      <c r="G2" s="62">
        <v>1.0</v>
      </c>
      <c r="H2" s="62" t="s">
        <v>108</v>
      </c>
      <c r="I2" s="62" t="s">
        <v>197</v>
      </c>
      <c r="K2" s="33" t="s">
        <v>94</v>
      </c>
      <c r="L2" s="33">
        <f>C3-C2</f>
        <v>-0.005583</v>
      </c>
      <c r="N2" s="40" t="s">
        <v>95</v>
      </c>
      <c r="O2" s="33">
        <v>616.73318</v>
      </c>
      <c r="P2" s="41">
        <f t="shared" ref="P2:P7" si="1">O2/23.0605</f>
        <v>26.74413738</v>
      </c>
      <c r="Q2" s="42"/>
      <c r="R2" s="43" t="s">
        <v>96</v>
      </c>
      <c r="S2" s="43"/>
      <c r="T2" s="33">
        <v>-2905.98429</v>
      </c>
    </row>
    <row r="3">
      <c r="A3" s="33" t="s">
        <v>200</v>
      </c>
      <c r="B3" s="33">
        <v>-2906.081707</v>
      </c>
      <c r="C3" s="33">
        <v>0.977244</v>
      </c>
      <c r="D3" s="33">
        <v>-2905.104463</v>
      </c>
      <c r="E3" s="33">
        <v>-2906.077502</v>
      </c>
      <c r="G3" s="62">
        <v>2.0</v>
      </c>
      <c r="H3" s="62" t="s">
        <v>201</v>
      </c>
      <c r="I3" s="62" t="s">
        <v>202</v>
      </c>
      <c r="K3" s="63" t="s">
        <v>27</v>
      </c>
      <c r="L3" s="63">
        <f>(B4+L2)*L$1</f>
        <v>-2.688351049</v>
      </c>
      <c r="N3" s="40" t="s">
        <v>99</v>
      </c>
      <c r="O3" s="33">
        <v>613.22964</v>
      </c>
      <c r="P3" s="41">
        <f t="shared" si="1"/>
        <v>26.59220919</v>
      </c>
      <c r="Q3" s="42"/>
      <c r="R3" s="43" t="s">
        <v>100</v>
      </c>
      <c r="S3" s="33">
        <v>-2906.077502</v>
      </c>
      <c r="T3" s="33">
        <v>-2906.081707</v>
      </c>
    </row>
    <row r="4">
      <c r="A4" s="33" t="s">
        <v>27</v>
      </c>
      <c r="B4" s="33">
        <f>E3-B2</f>
        <v>-0.093212</v>
      </c>
      <c r="C4" s="33" t="s">
        <v>170</v>
      </c>
      <c r="D4" s="33"/>
      <c r="E4" s="33"/>
      <c r="G4" s="62">
        <v>3.0</v>
      </c>
      <c r="H4" s="62" t="s">
        <v>203</v>
      </c>
      <c r="I4" s="62" t="s">
        <v>204</v>
      </c>
      <c r="K4" s="63" t="s">
        <v>104</v>
      </c>
      <c r="L4" s="63">
        <f>(B5+L2)*L$1</f>
        <v>-2.802775019</v>
      </c>
      <c r="N4" s="40" t="s">
        <v>105</v>
      </c>
      <c r="P4" s="41">
        <f t="shared" si="1"/>
        <v>0</v>
      </c>
      <c r="Q4" s="42"/>
      <c r="R4" s="43" t="s">
        <v>106</v>
      </c>
      <c r="S4" s="43"/>
      <c r="T4" s="45"/>
    </row>
    <row r="5">
      <c r="A5" s="33" t="s">
        <v>107</v>
      </c>
      <c r="B5" s="33">
        <f>B3-B2</f>
        <v>-0.097417</v>
      </c>
      <c r="C5" s="33" t="s">
        <v>170</v>
      </c>
      <c r="D5" s="33"/>
      <c r="E5" s="33"/>
      <c r="G5" s="62">
        <v>4.0</v>
      </c>
      <c r="H5" s="62" t="s">
        <v>138</v>
      </c>
      <c r="I5" s="62" t="s">
        <v>205</v>
      </c>
      <c r="N5" s="40" t="s">
        <v>110</v>
      </c>
      <c r="P5" s="41">
        <f t="shared" si="1"/>
        <v>0</v>
      </c>
      <c r="Q5" s="42"/>
      <c r="R5" s="43" t="s">
        <v>111</v>
      </c>
    </row>
    <row r="6">
      <c r="A6" s="33"/>
      <c r="B6" s="33"/>
      <c r="C6" s="33"/>
      <c r="D6" s="33"/>
      <c r="E6" s="33"/>
      <c r="G6" s="62">
        <v>5.0</v>
      </c>
      <c r="H6" s="62" t="s">
        <v>206</v>
      </c>
      <c r="I6" s="62" t="s">
        <v>207</v>
      </c>
      <c r="N6" s="40" t="s">
        <v>115</v>
      </c>
      <c r="O6" s="33">
        <v>594.02795</v>
      </c>
      <c r="P6" s="41">
        <f t="shared" si="1"/>
        <v>25.75954338</v>
      </c>
      <c r="Q6" s="42"/>
      <c r="R6" s="43" t="s">
        <v>116</v>
      </c>
      <c r="S6" s="43"/>
      <c r="T6" s="45">
        <v>-2829.122612</v>
      </c>
    </row>
    <row r="7">
      <c r="A7" s="33"/>
      <c r="B7" s="33"/>
      <c r="C7" s="33"/>
      <c r="D7" s="33"/>
      <c r="E7" s="33"/>
      <c r="G7" s="62">
        <v>6.0</v>
      </c>
      <c r="H7" s="62" t="s">
        <v>131</v>
      </c>
      <c r="I7" s="62" t="s">
        <v>208</v>
      </c>
      <c r="N7" s="40" t="s">
        <v>118</v>
      </c>
      <c r="O7" s="33">
        <v>591.48306</v>
      </c>
      <c r="P7" s="41">
        <f t="shared" si="1"/>
        <v>25.64918627</v>
      </c>
      <c r="Q7" s="42"/>
      <c r="R7" s="43" t="s">
        <v>119</v>
      </c>
      <c r="S7" s="33">
        <v>-2829.138376</v>
      </c>
      <c r="T7" s="33">
        <v>-2829.144226</v>
      </c>
    </row>
    <row r="8">
      <c r="A8" s="33"/>
      <c r="B8" s="33"/>
      <c r="C8" s="33"/>
      <c r="D8" s="33"/>
      <c r="E8" s="33"/>
      <c r="G8" s="62">
        <v>7.0</v>
      </c>
      <c r="H8" s="62" t="s">
        <v>209</v>
      </c>
      <c r="I8" s="62" t="s">
        <v>210</v>
      </c>
      <c r="N8" s="47"/>
      <c r="O8" s="42"/>
      <c r="P8" s="42"/>
      <c r="Q8" s="42"/>
      <c r="R8" s="42"/>
      <c r="S8" s="42"/>
      <c r="T8" s="48"/>
    </row>
    <row r="9">
      <c r="A9" s="33"/>
      <c r="B9" s="33"/>
      <c r="C9" s="33"/>
      <c r="D9" s="33"/>
      <c r="E9" s="33"/>
      <c r="G9" s="62">
        <v>8.0</v>
      </c>
      <c r="H9" s="65" t="s">
        <v>211</v>
      </c>
      <c r="I9" s="62" t="s">
        <v>212</v>
      </c>
      <c r="N9" s="40" t="s">
        <v>124</v>
      </c>
      <c r="O9" s="43" t="s">
        <v>125</v>
      </c>
      <c r="P9" s="43" t="s">
        <v>126</v>
      </c>
      <c r="Q9" s="42"/>
      <c r="R9" s="42"/>
      <c r="S9" s="42"/>
      <c r="T9" s="48"/>
    </row>
    <row r="10">
      <c r="A10" s="33"/>
      <c r="B10" s="33"/>
      <c r="C10" s="33"/>
      <c r="D10" s="33"/>
      <c r="E10" s="33"/>
      <c r="G10" s="62">
        <v>9.0</v>
      </c>
      <c r="H10" s="62" t="s">
        <v>213</v>
      </c>
      <c r="I10" s="62" t="s">
        <v>214</v>
      </c>
      <c r="N10" s="40" t="s">
        <v>94</v>
      </c>
      <c r="O10" s="42"/>
      <c r="P10" s="41">
        <f>P3-P2</f>
        <v>-0.1519281889</v>
      </c>
      <c r="Q10" s="42"/>
      <c r="R10" s="42"/>
      <c r="S10" s="42"/>
      <c r="T10" s="48"/>
    </row>
    <row r="11">
      <c r="A11" s="33"/>
      <c r="B11" s="33"/>
      <c r="C11" s="33"/>
      <c r="D11" s="33"/>
      <c r="E11" s="33"/>
      <c r="G11" s="62">
        <v>10.0</v>
      </c>
      <c r="H11" s="62" t="s">
        <v>215</v>
      </c>
      <c r="I11" s="62" t="s">
        <v>216</v>
      </c>
      <c r="N11" s="40" t="s">
        <v>130</v>
      </c>
      <c r="O11" s="41">
        <f>S3-T2</f>
        <v>-0.093212</v>
      </c>
      <c r="P11" s="41">
        <f>O11*27.2114</f>
        <v>-2.536429017</v>
      </c>
      <c r="Q11" s="42"/>
      <c r="R11" s="42"/>
      <c r="S11" s="42"/>
      <c r="T11" s="48"/>
    </row>
    <row r="12">
      <c r="A12" s="33"/>
      <c r="B12" s="33"/>
      <c r="C12" s="33"/>
      <c r="D12" s="33"/>
      <c r="E12" s="33"/>
      <c r="G12" s="62">
        <v>11.0</v>
      </c>
      <c r="H12" s="62" t="s">
        <v>217</v>
      </c>
      <c r="I12" s="62" t="s">
        <v>218</v>
      </c>
      <c r="N12" s="40" t="s">
        <v>133</v>
      </c>
      <c r="O12" s="42"/>
      <c r="P12" s="49">
        <f>P11+P10</f>
        <v>-2.688357206</v>
      </c>
      <c r="Q12" s="43" t="s">
        <v>134</v>
      </c>
      <c r="R12" s="42"/>
      <c r="S12" s="42"/>
      <c r="T12" s="48"/>
    </row>
    <row r="13">
      <c r="A13" s="33"/>
      <c r="B13" s="33"/>
      <c r="C13" s="33"/>
      <c r="D13" s="33"/>
      <c r="E13" s="33"/>
      <c r="G13" s="62">
        <v>12.0</v>
      </c>
      <c r="H13" s="62" t="s">
        <v>156</v>
      </c>
      <c r="I13" s="62" t="s">
        <v>219</v>
      </c>
      <c r="N13" s="40" t="s">
        <v>137</v>
      </c>
      <c r="O13" s="41">
        <f>T3-T2</f>
        <v>-0.097417</v>
      </c>
      <c r="P13" s="41">
        <f>O13*27.2114</f>
        <v>-2.650852954</v>
      </c>
      <c r="Q13" s="42"/>
      <c r="R13" s="42"/>
      <c r="S13" s="42"/>
      <c r="T13" s="48"/>
    </row>
    <row r="14">
      <c r="A14" s="33"/>
      <c r="B14" s="33"/>
      <c r="C14" s="33"/>
      <c r="D14" s="33"/>
      <c r="E14" s="33"/>
      <c r="G14" s="62">
        <v>13.0</v>
      </c>
      <c r="H14" s="66"/>
      <c r="I14" s="66"/>
      <c r="N14" s="40" t="s">
        <v>133</v>
      </c>
      <c r="O14" s="42"/>
      <c r="P14" s="49">
        <f>P13+P10</f>
        <v>-2.802781143</v>
      </c>
      <c r="Q14" s="43" t="s">
        <v>9</v>
      </c>
      <c r="R14" s="42"/>
      <c r="S14" s="42"/>
      <c r="T14" s="48"/>
    </row>
    <row r="15">
      <c r="A15" s="33"/>
      <c r="B15" s="33"/>
      <c r="C15" s="33"/>
      <c r="D15" s="33"/>
      <c r="E15" s="33"/>
      <c r="G15" s="62">
        <v>14.0</v>
      </c>
      <c r="H15" s="66"/>
      <c r="I15" s="66"/>
      <c r="N15" s="47"/>
      <c r="O15" s="42"/>
      <c r="P15" s="42"/>
      <c r="Q15" s="42"/>
      <c r="R15" s="42"/>
      <c r="S15" s="42"/>
      <c r="T15" s="48"/>
    </row>
    <row r="16">
      <c r="A16" s="33"/>
      <c r="B16" s="33"/>
      <c r="C16" s="33"/>
      <c r="D16" s="33"/>
      <c r="E16" s="33"/>
      <c r="G16" s="62">
        <v>15.0</v>
      </c>
      <c r="H16" s="66"/>
      <c r="I16" s="66"/>
      <c r="N16" s="47"/>
      <c r="O16" s="42"/>
      <c r="P16" s="42"/>
      <c r="Q16" s="42"/>
      <c r="R16" s="42"/>
      <c r="S16" s="42"/>
      <c r="T16" s="48"/>
    </row>
    <row r="17">
      <c r="A17" s="33"/>
      <c r="B17" s="33"/>
      <c r="C17" s="33"/>
      <c r="D17" s="33"/>
      <c r="E17" s="33"/>
      <c r="G17" s="62">
        <v>16.0</v>
      </c>
      <c r="H17" s="66"/>
      <c r="I17" s="66"/>
      <c r="N17" s="40" t="s">
        <v>147</v>
      </c>
      <c r="O17" s="43" t="s">
        <v>125</v>
      </c>
      <c r="P17" s="43" t="s">
        <v>126</v>
      </c>
      <c r="Q17" s="42"/>
      <c r="R17" s="42"/>
      <c r="S17" s="42"/>
      <c r="T17" s="48"/>
    </row>
    <row r="18">
      <c r="A18" s="33"/>
      <c r="B18" s="33"/>
      <c r="C18" s="33"/>
      <c r="D18" s="33"/>
      <c r="E18" s="33"/>
      <c r="G18" s="62">
        <v>17.0</v>
      </c>
      <c r="H18" s="66"/>
      <c r="I18" s="66"/>
      <c r="N18" s="40" t="s">
        <v>150</v>
      </c>
      <c r="O18" s="42"/>
      <c r="P18" s="41">
        <f>P5-P4</f>
        <v>0</v>
      </c>
      <c r="Q18" s="42"/>
      <c r="R18" s="42"/>
      <c r="S18" s="42"/>
      <c r="T18" s="48"/>
    </row>
    <row r="19">
      <c r="A19" s="33"/>
      <c r="B19" s="33"/>
      <c r="C19" s="33"/>
      <c r="D19" s="33"/>
      <c r="E19" s="33"/>
      <c r="G19" s="62">
        <v>18.0</v>
      </c>
      <c r="H19" s="66"/>
      <c r="I19" s="66"/>
      <c r="N19" s="40" t="s">
        <v>130</v>
      </c>
      <c r="O19" s="41">
        <f>S5-T4</f>
        <v>0</v>
      </c>
      <c r="P19" s="41">
        <f>O19*27.2114</f>
        <v>0</v>
      </c>
      <c r="Q19" s="42"/>
      <c r="R19" s="42"/>
      <c r="S19" s="42"/>
      <c r="T19" s="48"/>
    </row>
    <row r="20">
      <c r="A20" s="33"/>
      <c r="B20" s="33"/>
      <c r="C20" s="33"/>
      <c r="D20" s="33"/>
      <c r="E20" s="33"/>
      <c r="G20" s="62">
        <v>19.0</v>
      </c>
      <c r="H20" s="66"/>
      <c r="I20" s="66"/>
      <c r="N20" s="40" t="s">
        <v>133</v>
      </c>
      <c r="O20" s="42"/>
      <c r="P20" s="49">
        <f>P19+P18</f>
        <v>0</v>
      </c>
      <c r="Q20" s="43" t="s">
        <v>134</v>
      </c>
      <c r="R20" s="42"/>
      <c r="S20" s="42"/>
      <c r="T20" s="48"/>
    </row>
    <row r="21">
      <c r="A21" s="33"/>
      <c r="B21" s="33"/>
      <c r="C21" s="33"/>
      <c r="D21" s="33"/>
      <c r="E21" s="33"/>
      <c r="G21" s="62">
        <v>20.0</v>
      </c>
      <c r="H21" s="66"/>
      <c r="I21" s="66"/>
      <c r="N21" s="40" t="s">
        <v>137</v>
      </c>
      <c r="O21" s="41">
        <f>T5-T4</f>
        <v>0</v>
      </c>
      <c r="P21" s="41">
        <f>O21*27.2114</f>
        <v>0</v>
      </c>
      <c r="Q21" s="42"/>
      <c r="R21" s="42"/>
      <c r="S21" s="42"/>
      <c r="T21" s="48"/>
    </row>
    <row r="22">
      <c r="A22" s="33"/>
      <c r="B22" s="33"/>
      <c r="C22" s="33"/>
      <c r="D22" s="33"/>
      <c r="E22" s="33"/>
      <c r="G22" s="62">
        <v>21.0</v>
      </c>
      <c r="H22" s="66"/>
      <c r="I22" s="66"/>
      <c r="N22" s="40" t="s">
        <v>133</v>
      </c>
      <c r="O22" s="42"/>
      <c r="P22" s="49">
        <f>P21+P18</f>
        <v>0</v>
      </c>
      <c r="Q22" s="43" t="s">
        <v>9</v>
      </c>
      <c r="R22" s="42"/>
      <c r="S22" s="42"/>
      <c r="T22" s="48"/>
    </row>
    <row r="23">
      <c r="A23" s="33"/>
      <c r="B23" s="33"/>
      <c r="C23" s="33"/>
      <c r="D23" s="33"/>
      <c r="E23" s="33"/>
      <c r="G23" s="62">
        <v>22.0</v>
      </c>
      <c r="H23" s="66"/>
      <c r="I23" s="66"/>
      <c r="N23" s="47"/>
      <c r="O23" s="42"/>
      <c r="P23" s="42"/>
      <c r="Q23" s="42"/>
      <c r="R23" s="42"/>
      <c r="S23" s="42"/>
      <c r="T23" s="48"/>
    </row>
    <row r="24">
      <c r="A24" s="33"/>
      <c r="B24" s="33"/>
      <c r="C24" s="33"/>
      <c r="D24" s="33"/>
      <c r="E24" s="33"/>
      <c r="G24" s="62">
        <v>23.0</v>
      </c>
      <c r="H24" s="66"/>
      <c r="I24" s="66"/>
      <c r="N24" s="40" t="s">
        <v>163</v>
      </c>
      <c r="O24" s="42"/>
      <c r="P24" s="42"/>
      <c r="Q24" s="42"/>
      <c r="R24" s="42"/>
      <c r="S24" s="42"/>
      <c r="T24" s="48"/>
    </row>
    <row r="25">
      <c r="A25" s="33"/>
      <c r="B25" s="33"/>
      <c r="C25" s="33"/>
      <c r="D25" s="33"/>
      <c r="E25" s="33"/>
      <c r="G25" s="62">
        <v>24.0</v>
      </c>
      <c r="H25" s="66"/>
      <c r="I25" s="66"/>
      <c r="N25" s="40" t="s">
        <v>150</v>
      </c>
      <c r="O25" s="42"/>
      <c r="P25" s="41">
        <f>P7-P6</f>
        <v>-0.1103571041</v>
      </c>
      <c r="Q25" s="42"/>
      <c r="R25" s="42"/>
      <c r="S25" s="42"/>
      <c r="T25" s="48"/>
    </row>
    <row r="26">
      <c r="A26" s="33"/>
      <c r="B26" s="33"/>
      <c r="C26" s="33"/>
      <c r="D26" s="33"/>
      <c r="E26" s="33"/>
      <c r="G26" s="62">
        <v>25.0</v>
      </c>
      <c r="H26" s="66"/>
      <c r="I26" s="66"/>
      <c r="N26" s="40" t="s">
        <v>130</v>
      </c>
      <c r="O26" s="41">
        <f>S7-T6</f>
        <v>-0.015764</v>
      </c>
      <c r="P26" s="41">
        <f>O26*27.2114</f>
        <v>-0.4289605096</v>
      </c>
      <c r="Q26" s="42"/>
      <c r="R26" s="42"/>
      <c r="S26" s="42"/>
      <c r="T26" s="48"/>
    </row>
    <row r="27">
      <c r="A27" s="33"/>
      <c r="B27" s="33"/>
      <c r="C27" s="33"/>
      <c r="D27" s="33"/>
      <c r="E27" s="33"/>
      <c r="G27" s="62">
        <v>26.0</v>
      </c>
      <c r="H27" s="66"/>
      <c r="I27" s="66"/>
      <c r="N27" s="40" t="s">
        <v>133</v>
      </c>
      <c r="O27" s="42"/>
      <c r="P27" s="49">
        <f>P26+P25</f>
        <v>-0.5393176137</v>
      </c>
      <c r="Q27" s="43" t="s">
        <v>134</v>
      </c>
      <c r="R27" s="42"/>
      <c r="S27" s="42"/>
      <c r="T27" s="48"/>
    </row>
    <row r="28">
      <c r="A28" s="33"/>
      <c r="B28" s="33"/>
      <c r="C28" s="33"/>
      <c r="D28" s="33"/>
      <c r="E28" s="33"/>
      <c r="G28" s="62">
        <v>27.0</v>
      </c>
      <c r="H28" s="66"/>
      <c r="I28" s="66"/>
      <c r="N28" s="40" t="s">
        <v>137</v>
      </c>
      <c r="O28" s="41">
        <f>T7-T6</f>
        <v>-0.021614</v>
      </c>
      <c r="P28" s="41">
        <f>O28*27.2114</f>
        <v>-0.5881471996</v>
      </c>
      <c r="Q28" s="42"/>
      <c r="R28" s="42"/>
      <c r="S28" s="42"/>
      <c r="T28" s="48"/>
    </row>
    <row r="29">
      <c r="A29" s="33"/>
      <c r="B29" s="33"/>
      <c r="C29" s="33"/>
      <c r="D29" s="33"/>
      <c r="E29" s="33"/>
      <c r="G29" s="62">
        <v>28.0</v>
      </c>
      <c r="H29" s="66"/>
      <c r="I29" s="66"/>
      <c r="N29" s="55" t="s">
        <v>133</v>
      </c>
      <c r="O29" s="56"/>
      <c r="P29" s="57">
        <f>P28+P25</f>
        <v>-0.6985043037</v>
      </c>
      <c r="Q29" s="58" t="s">
        <v>9</v>
      </c>
      <c r="R29" s="56"/>
      <c r="S29" s="56"/>
      <c r="T29" s="59"/>
    </row>
    <row r="30">
      <c r="A30" s="33"/>
      <c r="B30" s="33"/>
      <c r="C30" s="33"/>
      <c r="D30" s="33"/>
      <c r="E30" s="33"/>
      <c r="G30" s="62">
        <v>29.0</v>
      </c>
      <c r="H30" s="66"/>
      <c r="I30" s="66"/>
    </row>
    <row r="31">
      <c r="A31" s="33"/>
      <c r="B31" s="33"/>
      <c r="C31" s="33"/>
      <c r="D31" s="33"/>
      <c r="E31" s="33"/>
      <c r="G31" s="62">
        <v>30.0</v>
      </c>
      <c r="H31" s="66"/>
      <c r="I31" s="66"/>
    </row>
    <row r="32">
      <c r="A32" s="33"/>
      <c r="B32" s="33"/>
      <c r="C32" s="33"/>
      <c r="D32" s="33"/>
      <c r="E32" s="33"/>
      <c r="G32" s="62">
        <v>31.0</v>
      </c>
      <c r="H32" s="66"/>
      <c r="I32" s="66"/>
    </row>
    <row r="33">
      <c r="A33" s="33"/>
      <c r="B33" s="33"/>
      <c r="C33" s="33"/>
      <c r="D33" s="33"/>
      <c r="E33" s="33"/>
      <c r="G33" s="62">
        <v>32.0</v>
      </c>
      <c r="H33" s="66"/>
      <c r="I33" s="66"/>
    </row>
    <row r="34">
      <c r="A34" s="33"/>
      <c r="B34" s="33"/>
      <c r="C34" s="33"/>
      <c r="D34" s="33"/>
      <c r="E34" s="33"/>
      <c r="G34" s="62">
        <v>33.0</v>
      </c>
      <c r="H34" s="66"/>
      <c r="I34" s="66"/>
    </row>
    <row r="35">
      <c r="A35" s="33"/>
      <c r="B35" s="33"/>
      <c r="C35" s="33"/>
      <c r="D35" s="33"/>
      <c r="E35" s="33"/>
      <c r="G35" s="62">
        <v>34.0</v>
      </c>
      <c r="H35" s="66"/>
      <c r="I35" s="66"/>
    </row>
    <row r="36">
      <c r="A36" s="33"/>
      <c r="B36" s="33"/>
      <c r="C36" s="33"/>
      <c r="D36" s="33"/>
      <c r="E36" s="33"/>
      <c r="G36" s="62">
        <v>35.0</v>
      </c>
      <c r="H36" s="66"/>
      <c r="I36" s="66"/>
    </row>
    <row r="37">
      <c r="A37" s="33"/>
      <c r="B37" s="33"/>
      <c r="C37" s="33"/>
      <c r="D37" s="33"/>
      <c r="E37" s="33"/>
      <c r="G37" s="62">
        <v>36.0</v>
      </c>
      <c r="H37" s="66"/>
      <c r="I37" s="66"/>
    </row>
    <row r="38">
      <c r="A38" s="33"/>
      <c r="B38" s="33"/>
      <c r="C38" s="33"/>
      <c r="D38" s="33"/>
      <c r="E38" s="33"/>
      <c r="G38" s="62">
        <v>37.0</v>
      </c>
      <c r="H38" s="66"/>
      <c r="I38" s="66"/>
      <c r="J38" s="67"/>
    </row>
    <row r="39">
      <c r="A39" s="45" t="s">
        <v>220</v>
      </c>
      <c r="B39" s="45"/>
      <c r="C39" s="45"/>
      <c r="D39" s="52"/>
      <c r="E39" s="45" t="s">
        <v>92</v>
      </c>
      <c r="F39" s="52"/>
      <c r="G39" s="53"/>
      <c r="H39" s="53"/>
      <c r="I39" s="53"/>
      <c r="J39" s="52"/>
      <c r="K39" s="45" t="s">
        <v>94</v>
      </c>
      <c r="L39" s="45">
        <f>C40-C39</f>
        <v>0</v>
      </c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>
      <c r="A40" s="33" t="s">
        <v>221</v>
      </c>
      <c r="G40" s="54"/>
      <c r="H40" s="54"/>
      <c r="I40" s="54"/>
      <c r="K40" s="63" t="s">
        <v>27</v>
      </c>
      <c r="L40" s="63">
        <f>(B41+L39)*L$1</f>
        <v>0</v>
      </c>
    </row>
    <row r="41">
      <c r="A41" s="33" t="s">
        <v>27</v>
      </c>
      <c r="B41" s="33">
        <f>E40-B39</f>
        <v>0</v>
      </c>
      <c r="C41" s="33" t="s">
        <v>101</v>
      </c>
      <c r="E41" s="33"/>
      <c r="G41" s="54"/>
      <c r="H41" s="54"/>
      <c r="I41" s="54"/>
      <c r="K41" s="63" t="s">
        <v>104</v>
      </c>
      <c r="L41" s="63">
        <f>(B42+L39)*L$1</f>
        <v>0</v>
      </c>
    </row>
    <row r="42">
      <c r="A42" s="33" t="s">
        <v>107</v>
      </c>
      <c r="B42" s="33">
        <f t="shared" ref="B42:B43" si="2">B40-B39</f>
        <v>0</v>
      </c>
      <c r="C42" s="33" t="s">
        <v>101</v>
      </c>
      <c r="E42" s="33"/>
      <c r="G42" s="54"/>
      <c r="H42" s="54"/>
      <c r="I42" s="54"/>
    </row>
    <row r="43">
      <c r="A43" s="33" t="s">
        <v>107</v>
      </c>
      <c r="B43" s="33">
        <f t="shared" si="2"/>
        <v>0</v>
      </c>
      <c r="C43" s="33" t="s">
        <v>101</v>
      </c>
      <c r="E43" s="33"/>
      <c r="G43" s="54"/>
      <c r="H43" s="54"/>
      <c r="I43" s="54"/>
    </row>
    <row r="44">
      <c r="A44" s="33"/>
      <c r="B44" s="33"/>
      <c r="C44" s="33"/>
      <c r="D44" s="33"/>
      <c r="E44" s="33"/>
    </row>
    <row r="45">
      <c r="A45" s="33"/>
      <c r="B45" s="33"/>
      <c r="C45" s="33"/>
      <c r="D45" s="33"/>
      <c r="E45" s="33"/>
    </row>
    <row r="46">
      <c r="A46" s="33"/>
      <c r="B46" s="33"/>
      <c r="C46" s="33"/>
      <c r="D46" s="33"/>
      <c r="E46" s="33"/>
    </row>
    <row r="47">
      <c r="A47" s="45" t="s">
        <v>222</v>
      </c>
      <c r="B47" s="45">
        <v>-2829.122612</v>
      </c>
      <c r="C47" s="45">
        <v>0.946644</v>
      </c>
      <c r="D47" s="45">
        <v>-2828.175969</v>
      </c>
      <c r="E47" s="45" t="s">
        <v>92</v>
      </c>
      <c r="F47" s="52"/>
      <c r="G47" s="45" t="s">
        <v>83</v>
      </c>
      <c r="H47" s="52"/>
      <c r="I47" s="52"/>
      <c r="J47" s="52"/>
      <c r="K47" s="45" t="s">
        <v>94</v>
      </c>
      <c r="L47" s="45">
        <f>C48-C47</f>
        <v>-0.004056</v>
      </c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>
      <c r="A48" s="33" t="s">
        <v>223</v>
      </c>
      <c r="B48" s="33">
        <v>-2829.144226</v>
      </c>
      <c r="C48" s="33">
        <v>0.942588</v>
      </c>
      <c r="D48" s="33">
        <v>-2828.201638</v>
      </c>
      <c r="E48" s="33">
        <v>-2829.138376</v>
      </c>
      <c r="G48" s="62">
        <v>1.0</v>
      </c>
      <c r="H48" s="66"/>
      <c r="I48" s="66"/>
      <c r="K48" s="63" t="s">
        <v>27</v>
      </c>
      <c r="L48" s="63">
        <f>(B49+L47)*L$1</f>
        <v>-0.5393301056</v>
      </c>
    </row>
    <row r="49">
      <c r="A49" s="33" t="s">
        <v>27</v>
      </c>
      <c r="B49" s="33">
        <f>E48-B47</f>
        <v>-0.015764</v>
      </c>
      <c r="C49" s="33" t="s">
        <v>170</v>
      </c>
      <c r="G49" s="62">
        <v>2.0</v>
      </c>
      <c r="H49" s="66"/>
      <c r="I49" s="66"/>
      <c r="K49" s="63" t="s">
        <v>104</v>
      </c>
      <c r="L49" s="63">
        <f>(B50+L47)*L$1</f>
        <v>-0.6985168421</v>
      </c>
    </row>
    <row r="50">
      <c r="A50" s="33" t="s">
        <v>107</v>
      </c>
      <c r="B50" s="33">
        <f>B48-B47</f>
        <v>-0.021614</v>
      </c>
      <c r="C50" s="33" t="s">
        <v>170</v>
      </c>
      <c r="G50" s="62">
        <v>3.0</v>
      </c>
      <c r="H50" s="66"/>
      <c r="I50" s="66"/>
    </row>
    <row r="51">
      <c r="G51" s="62">
        <v>4.0</v>
      </c>
      <c r="H51" s="66"/>
      <c r="I51" s="66"/>
    </row>
    <row r="52">
      <c r="G52" s="62">
        <v>5.0</v>
      </c>
      <c r="H52" s="66"/>
      <c r="I52" s="66"/>
    </row>
    <row r="53">
      <c r="G53" s="62">
        <v>6.0</v>
      </c>
      <c r="H53" s="66"/>
      <c r="I53" s="66"/>
    </row>
    <row r="54">
      <c r="G54" s="62">
        <v>7.0</v>
      </c>
      <c r="H54" s="66"/>
      <c r="I54" s="66"/>
    </row>
    <row r="55">
      <c r="G55" s="62">
        <v>8.0</v>
      </c>
      <c r="H55" s="66"/>
      <c r="I55" s="66"/>
    </row>
    <row r="56">
      <c r="G56" s="62">
        <v>9.0</v>
      </c>
      <c r="H56" s="66"/>
      <c r="I56" s="66"/>
    </row>
    <row r="57">
      <c r="G57" s="62">
        <v>10.0</v>
      </c>
      <c r="H57" s="66"/>
      <c r="I57" s="66"/>
    </row>
    <row r="58">
      <c r="G58" s="62">
        <v>11.0</v>
      </c>
      <c r="H58" s="66"/>
      <c r="I58" s="66"/>
    </row>
    <row r="59">
      <c r="G59" s="62">
        <v>12.0</v>
      </c>
      <c r="H59" s="66"/>
      <c r="I59" s="66"/>
    </row>
    <row r="60">
      <c r="G60" s="62">
        <v>13.0</v>
      </c>
      <c r="H60" s="66"/>
      <c r="I60" s="66"/>
    </row>
    <row r="61">
      <c r="G61" s="62">
        <v>14.0</v>
      </c>
      <c r="H61" s="66"/>
      <c r="I61" s="66"/>
    </row>
    <row r="62">
      <c r="G62" s="62">
        <v>15.0</v>
      </c>
      <c r="H62" s="66"/>
      <c r="I62" s="66"/>
    </row>
    <row r="63">
      <c r="G63" s="62">
        <v>16.0</v>
      </c>
      <c r="H63" s="66"/>
      <c r="I63" s="66"/>
    </row>
    <row r="64">
      <c r="G64" s="62">
        <v>17.0</v>
      </c>
      <c r="H64" s="66"/>
      <c r="I64" s="66"/>
    </row>
    <row r="65">
      <c r="G65" s="62">
        <v>18.0</v>
      </c>
      <c r="H65" s="66"/>
      <c r="I65" s="66"/>
    </row>
    <row r="66">
      <c r="G66" s="62">
        <v>19.0</v>
      </c>
      <c r="H66" s="66"/>
      <c r="I66" s="66"/>
    </row>
    <row r="67">
      <c r="G67" s="62">
        <v>20.0</v>
      </c>
      <c r="H67" s="66"/>
      <c r="I67" s="66"/>
    </row>
    <row r="68">
      <c r="G68" s="62">
        <v>21.0</v>
      </c>
      <c r="H68" s="66"/>
      <c r="I68" s="66"/>
    </row>
    <row r="69">
      <c r="G69" s="62">
        <v>22.0</v>
      </c>
      <c r="H69" s="66"/>
      <c r="I69" s="66"/>
    </row>
    <row r="70">
      <c r="G70" s="62">
        <v>23.0</v>
      </c>
      <c r="H70" s="66"/>
      <c r="I70" s="66"/>
    </row>
    <row r="71">
      <c r="G71" s="62">
        <v>24.0</v>
      </c>
      <c r="H71" s="66"/>
      <c r="I71" s="66"/>
    </row>
    <row r="72">
      <c r="G72" s="62">
        <v>25.0</v>
      </c>
      <c r="H72" s="66"/>
      <c r="I72" s="66"/>
    </row>
    <row r="73">
      <c r="G73" s="62">
        <v>26.0</v>
      </c>
      <c r="H73" s="66"/>
      <c r="I73" s="66"/>
    </row>
    <row r="74">
      <c r="G74" s="62">
        <v>27.0</v>
      </c>
      <c r="H74" s="66"/>
      <c r="I74" s="66"/>
    </row>
    <row r="75">
      <c r="G75" s="62">
        <v>28.0</v>
      </c>
      <c r="H75" s="66"/>
      <c r="I75" s="66"/>
    </row>
    <row r="76">
      <c r="G76" s="62">
        <v>29.0</v>
      </c>
      <c r="H76" s="66"/>
      <c r="I76" s="66"/>
    </row>
    <row r="77">
      <c r="G77" s="62">
        <v>30.0</v>
      </c>
      <c r="H77" s="66"/>
      <c r="I77" s="66"/>
    </row>
    <row r="78">
      <c r="G78" s="62">
        <v>31.0</v>
      </c>
      <c r="H78" s="66"/>
      <c r="I78" s="66"/>
    </row>
    <row r="79">
      <c r="G79" s="62">
        <v>32.0</v>
      </c>
      <c r="H79" s="66"/>
      <c r="I79" s="66"/>
    </row>
    <row r="80">
      <c r="G80" s="62">
        <v>33.0</v>
      </c>
      <c r="H80" s="66"/>
      <c r="I80" s="66"/>
    </row>
    <row r="81">
      <c r="G81" s="62">
        <v>34.0</v>
      </c>
      <c r="H81" s="66"/>
      <c r="I81" s="66"/>
    </row>
    <row r="82">
      <c r="G82" s="62">
        <v>35.0</v>
      </c>
      <c r="H82" s="66"/>
      <c r="I82" s="66"/>
    </row>
    <row r="83">
      <c r="G83" s="62">
        <v>36.0</v>
      </c>
      <c r="H83" s="66"/>
      <c r="I83" s="66"/>
    </row>
    <row r="84">
      <c r="G84" s="62">
        <v>37.0</v>
      </c>
      <c r="H84" s="66"/>
      <c r="I84" s="6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43" t="s">
        <v>86</v>
      </c>
      <c r="B1" s="43" t="s">
        <v>87</v>
      </c>
      <c r="C1" s="43" t="s">
        <v>88</v>
      </c>
      <c r="D1" s="42"/>
      <c r="E1" s="43"/>
      <c r="F1" s="43" t="s">
        <v>89</v>
      </c>
      <c r="G1" s="43" t="s">
        <v>90</v>
      </c>
      <c r="H1" s="42"/>
    </row>
    <row r="2">
      <c r="A2" s="43" t="s">
        <v>95</v>
      </c>
      <c r="B2" s="64">
        <v>405.58125</v>
      </c>
      <c r="C2" s="41">
        <f t="shared" ref="C2:C7" si="1">B2/23.0605</f>
        <v>17.58770408</v>
      </c>
      <c r="D2" s="42"/>
      <c r="E2" s="43" t="s">
        <v>96</v>
      </c>
      <c r="F2" s="43"/>
      <c r="G2" s="64">
        <v>-1911.92587973</v>
      </c>
      <c r="H2" s="42"/>
    </row>
    <row r="3">
      <c r="A3" s="43" t="s">
        <v>99</v>
      </c>
      <c r="B3" s="64">
        <v>402.94465</v>
      </c>
      <c r="C3" s="41">
        <f t="shared" si="1"/>
        <v>17.47337005</v>
      </c>
      <c r="D3" s="42"/>
      <c r="E3" s="43" t="s">
        <v>100</v>
      </c>
      <c r="F3" s="64">
        <v>-1912.02450023</v>
      </c>
      <c r="G3" s="64">
        <v>-1912.03346171</v>
      </c>
      <c r="H3" s="42"/>
    </row>
    <row r="4">
      <c r="A4" s="43" t="s">
        <v>105</v>
      </c>
      <c r="B4" s="64">
        <v>396.76993</v>
      </c>
      <c r="C4" s="41">
        <f t="shared" si="1"/>
        <v>17.20560829</v>
      </c>
      <c r="D4" s="42"/>
      <c r="E4" s="43" t="s">
        <v>106</v>
      </c>
      <c r="F4" s="43"/>
      <c r="G4" s="64">
        <v>-1911.22311743</v>
      </c>
      <c r="H4" s="42"/>
    </row>
    <row r="5">
      <c r="A5" s="43" t="s">
        <v>110</v>
      </c>
      <c r="B5" s="64">
        <v>399.80782</v>
      </c>
      <c r="C5" s="41">
        <f t="shared" si="1"/>
        <v>17.33734394</v>
      </c>
      <c r="D5" s="42"/>
      <c r="E5" s="43" t="s">
        <v>111</v>
      </c>
      <c r="F5" s="64">
        <v>-1911.38834279</v>
      </c>
      <c r="G5" s="64">
        <v>-1911.53466905</v>
      </c>
      <c r="H5" s="42"/>
    </row>
    <row r="6">
      <c r="A6" s="43" t="s">
        <v>115</v>
      </c>
      <c r="B6" s="64">
        <v>300.82253</v>
      </c>
      <c r="C6" s="41">
        <f t="shared" si="1"/>
        <v>13.04492661</v>
      </c>
      <c r="D6" s="42"/>
      <c r="E6" s="43" t="s">
        <v>116</v>
      </c>
      <c r="F6" s="43"/>
      <c r="G6" s="64">
        <v>-1911.54501024</v>
      </c>
      <c r="H6" s="42"/>
    </row>
    <row r="7">
      <c r="A7" s="43" t="s">
        <v>118</v>
      </c>
      <c r="B7" s="64">
        <v>299.56602</v>
      </c>
      <c r="C7" s="41">
        <f t="shared" si="1"/>
        <v>12.99043906</v>
      </c>
      <c r="D7" s="42"/>
      <c r="E7" s="43" t="s">
        <v>119</v>
      </c>
      <c r="F7" s="64">
        <v>-1911.55332955</v>
      </c>
      <c r="G7" s="64">
        <v>-1911.5545734</v>
      </c>
      <c r="H7" s="42"/>
    </row>
    <row r="8" ht="14.25" customHeight="1">
      <c r="A8" s="42"/>
      <c r="B8" s="42"/>
      <c r="C8" s="42"/>
      <c r="D8" s="42"/>
      <c r="E8" s="42"/>
      <c r="F8" s="42"/>
      <c r="G8" s="42"/>
      <c r="H8" s="42"/>
    </row>
    <row r="9">
      <c r="A9" s="43" t="s">
        <v>124</v>
      </c>
      <c r="B9" s="43" t="s">
        <v>125</v>
      </c>
      <c r="C9" s="43" t="s">
        <v>126</v>
      </c>
      <c r="D9" s="42"/>
      <c r="E9" s="42"/>
      <c r="F9" s="42"/>
      <c r="G9" s="42"/>
      <c r="H9" s="42"/>
    </row>
    <row r="10">
      <c r="A10" s="43" t="s">
        <v>94</v>
      </c>
      <c r="B10" s="42"/>
      <c r="C10" s="41">
        <f>C3-C2</f>
        <v>-0.1143340344</v>
      </c>
      <c r="D10" s="42"/>
      <c r="E10" s="42"/>
      <c r="F10" s="42"/>
      <c r="G10" s="42"/>
      <c r="H10" s="42"/>
    </row>
    <row r="11">
      <c r="A11" s="43" t="s">
        <v>130</v>
      </c>
      <c r="B11" s="41">
        <f>F3-G2</f>
        <v>-0.0986205</v>
      </c>
      <c r="C11" s="41">
        <f>B11*27.2114</f>
        <v>-2.683601874</v>
      </c>
      <c r="D11" s="42"/>
      <c r="E11" s="42"/>
      <c r="F11" s="42"/>
      <c r="G11" s="42"/>
      <c r="H11" s="42"/>
    </row>
    <row r="12">
      <c r="A12" s="43" t="s">
        <v>133</v>
      </c>
      <c r="B12" s="42"/>
      <c r="C12" s="41">
        <f>C11+C10</f>
        <v>-2.797935908</v>
      </c>
      <c r="D12" s="43" t="s">
        <v>134</v>
      </c>
      <c r="E12" s="42"/>
      <c r="F12" s="42"/>
      <c r="G12" s="42"/>
      <c r="H12" s="42"/>
    </row>
    <row r="13">
      <c r="A13" s="43" t="s">
        <v>137</v>
      </c>
      <c r="B13" s="41">
        <f>G3-G2</f>
        <v>-0.10758198</v>
      </c>
      <c r="C13" s="41">
        <f>B13*27.2114</f>
        <v>-2.927456291</v>
      </c>
      <c r="D13" s="42"/>
      <c r="E13" s="42"/>
      <c r="F13" s="42"/>
      <c r="G13" s="42"/>
      <c r="H13" s="42"/>
    </row>
    <row r="14">
      <c r="A14" s="43" t="s">
        <v>133</v>
      </c>
      <c r="B14" s="42"/>
      <c r="C14" s="41">
        <f>C13+C10</f>
        <v>-3.041790325</v>
      </c>
      <c r="D14" s="43" t="s">
        <v>9</v>
      </c>
      <c r="E14" s="42"/>
      <c r="F14" s="42"/>
      <c r="G14" s="42"/>
      <c r="H14" s="42"/>
    </row>
    <row r="15">
      <c r="A15" s="42"/>
      <c r="B15" s="42"/>
      <c r="C15" s="42"/>
      <c r="D15" s="42"/>
      <c r="E15" s="42"/>
      <c r="F15" s="42"/>
      <c r="G15" s="42"/>
      <c r="H15" s="42"/>
    </row>
    <row r="16">
      <c r="A16" s="42"/>
      <c r="B16" s="42"/>
      <c r="C16" s="42"/>
      <c r="D16" s="42"/>
      <c r="E16" s="42"/>
      <c r="F16" s="42"/>
      <c r="G16" s="42"/>
      <c r="H16" s="42"/>
    </row>
    <row r="17">
      <c r="A17" s="43" t="s">
        <v>147</v>
      </c>
      <c r="B17" s="43" t="s">
        <v>125</v>
      </c>
      <c r="C17" s="43" t="s">
        <v>126</v>
      </c>
      <c r="D17" s="42"/>
      <c r="E17" s="42"/>
      <c r="F17" s="42"/>
      <c r="G17" s="42"/>
      <c r="H17" s="42"/>
    </row>
    <row r="18">
      <c r="A18" s="43" t="s">
        <v>150</v>
      </c>
      <c r="B18" s="42"/>
      <c r="C18" s="41">
        <f>C5-C4</f>
        <v>0.1317356519</v>
      </c>
      <c r="D18" s="42"/>
      <c r="E18" s="42"/>
      <c r="F18" s="42"/>
      <c r="G18" s="42"/>
      <c r="H18" s="42"/>
    </row>
    <row r="19">
      <c r="A19" s="43" t="s">
        <v>130</v>
      </c>
      <c r="B19" s="41">
        <f>F5-G4</f>
        <v>-0.16522536</v>
      </c>
      <c r="C19" s="41">
        <f>B19*27.2114</f>
        <v>-4.496013361</v>
      </c>
      <c r="D19" s="42"/>
      <c r="E19" s="42"/>
      <c r="F19" s="42"/>
      <c r="G19" s="42"/>
      <c r="H19" s="42"/>
    </row>
    <row r="20">
      <c r="A20" s="43" t="s">
        <v>133</v>
      </c>
      <c r="B20" s="42"/>
      <c r="C20" s="41">
        <f>C19+C18</f>
        <v>-4.364277709</v>
      </c>
      <c r="D20" s="43" t="s">
        <v>134</v>
      </c>
      <c r="E20" s="42"/>
      <c r="F20" s="42"/>
      <c r="G20" s="42"/>
      <c r="H20" s="42"/>
    </row>
    <row r="21">
      <c r="A21" s="43" t="s">
        <v>137</v>
      </c>
      <c r="B21" s="41">
        <f>G5-G4</f>
        <v>-0.31155162</v>
      </c>
      <c r="C21" s="41">
        <f>B21*27.2114</f>
        <v>-8.477755752</v>
      </c>
      <c r="D21" s="42"/>
      <c r="E21" s="42"/>
      <c r="F21" s="42"/>
      <c r="G21" s="42"/>
      <c r="H21" s="42"/>
    </row>
    <row r="22">
      <c r="A22" s="43" t="s">
        <v>133</v>
      </c>
      <c r="B22" s="42"/>
      <c r="C22" s="41">
        <f>C21+C18</f>
        <v>-8.346020101</v>
      </c>
      <c r="D22" s="43" t="s">
        <v>9</v>
      </c>
      <c r="E22" s="42"/>
      <c r="F22" s="42"/>
      <c r="G22" s="42"/>
      <c r="H22" s="42"/>
    </row>
    <row r="23">
      <c r="A23" s="42"/>
      <c r="B23" s="42"/>
      <c r="C23" s="42"/>
      <c r="D23" s="42"/>
      <c r="E23" s="42"/>
      <c r="F23" s="42"/>
      <c r="G23" s="42"/>
      <c r="H23" s="42"/>
    </row>
    <row r="24">
      <c r="A24" s="43" t="s">
        <v>163</v>
      </c>
      <c r="B24" s="42"/>
      <c r="C24" s="42"/>
      <c r="D24" s="42"/>
      <c r="E24" s="42"/>
      <c r="F24" s="42"/>
      <c r="G24" s="42"/>
      <c r="H24" s="42"/>
    </row>
    <row r="25">
      <c r="A25" s="43" t="s">
        <v>150</v>
      </c>
      <c r="B25" s="42"/>
      <c r="C25" s="41">
        <f>C7-C6</f>
        <v>-0.05448754364</v>
      </c>
      <c r="D25" s="42"/>
      <c r="E25" s="42"/>
      <c r="F25" s="42"/>
      <c r="G25" s="42"/>
      <c r="H25" s="42"/>
    </row>
    <row r="26">
      <c r="A26" s="43" t="s">
        <v>130</v>
      </c>
      <c r="B26" s="41">
        <f>F7-G6</f>
        <v>-0.00831931</v>
      </c>
      <c r="C26" s="41">
        <f>B26*27.2114</f>
        <v>-0.2263800721</v>
      </c>
      <c r="D26" s="42"/>
      <c r="E26" s="42"/>
      <c r="F26" s="42"/>
      <c r="G26" s="42"/>
      <c r="H26" s="42"/>
    </row>
    <row r="27">
      <c r="A27" s="43" t="s">
        <v>133</v>
      </c>
      <c r="B27" s="42"/>
      <c r="C27" s="41">
        <f>C26+C25</f>
        <v>-0.2808676158</v>
      </c>
      <c r="D27" s="43" t="s">
        <v>134</v>
      </c>
      <c r="E27" s="42"/>
      <c r="F27" s="42"/>
      <c r="G27" s="42"/>
      <c r="H27" s="42"/>
    </row>
    <row r="28">
      <c r="A28" s="43" t="s">
        <v>137</v>
      </c>
      <c r="B28" s="41">
        <f>G7-G6</f>
        <v>-0.00956316</v>
      </c>
      <c r="C28" s="41">
        <f>B28*27.2114</f>
        <v>-0.260226972</v>
      </c>
      <c r="D28" s="42"/>
      <c r="E28" s="42"/>
      <c r="F28" s="42"/>
      <c r="G28" s="42"/>
      <c r="H28" s="42"/>
    </row>
    <row r="29">
      <c r="A29" s="43" t="s">
        <v>133</v>
      </c>
      <c r="B29" s="42"/>
      <c r="C29" s="41">
        <f>C28+C25</f>
        <v>-0.3147145157</v>
      </c>
      <c r="D29" s="43" t="s">
        <v>9</v>
      </c>
      <c r="E29" s="42"/>
      <c r="F29" s="42"/>
      <c r="G29" s="42"/>
      <c r="H29" s="42"/>
    </row>
    <row r="30">
      <c r="A30" s="42"/>
      <c r="B30" s="42"/>
      <c r="C30" s="42"/>
      <c r="D30" s="42"/>
      <c r="E30" s="42"/>
      <c r="F30" s="42"/>
      <c r="G30" s="42"/>
      <c r="H30" s="42"/>
    </row>
    <row r="31">
      <c r="A31" s="42"/>
      <c r="B31" s="42"/>
      <c r="C31" s="42"/>
      <c r="D31" s="42"/>
      <c r="E31" s="42"/>
      <c r="F31" s="42"/>
      <c r="G31" s="42"/>
      <c r="H31" s="42"/>
    </row>
    <row r="32">
      <c r="A32" s="42"/>
      <c r="B32" s="42"/>
      <c r="C32" s="42"/>
      <c r="D32" s="42"/>
      <c r="E32" s="42"/>
      <c r="F32" s="42"/>
      <c r="G32" s="42"/>
      <c r="H32" s="42"/>
    </row>
    <row r="33">
      <c r="A33" s="42"/>
      <c r="B33" s="42"/>
      <c r="C33" s="42"/>
      <c r="D33" s="42"/>
      <c r="E33" s="42"/>
      <c r="F33" s="42"/>
      <c r="G33" s="42"/>
      <c r="H33" s="4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224</v>
      </c>
      <c r="B1" s="33"/>
      <c r="C1" s="33"/>
      <c r="E1" s="33" t="s">
        <v>225</v>
      </c>
      <c r="F1" s="33"/>
      <c r="G1" s="33"/>
    </row>
    <row r="2">
      <c r="A2" s="33" t="s">
        <v>226</v>
      </c>
      <c r="B2" s="33" t="s">
        <v>27</v>
      </c>
      <c r="C2" s="33" t="s">
        <v>9</v>
      </c>
      <c r="E2" s="33" t="s">
        <v>226</v>
      </c>
      <c r="F2" s="33" t="s">
        <v>27</v>
      </c>
      <c r="G2" s="33" t="s">
        <v>9</v>
      </c>
    </row>
    <row r="3">
      <c r="A3" s="33">
        <v>15.0</v>
      </c>
      <c r="B3" s="33">
        <v>0.32</v>
      </c>
      <c r="C3" s="33">
        <v>0.36</v>
      </c>
      <c r="E3" s="33">
        <v>15.0</v>
      </c>
      <c r="F3" s="33">
        <v>2.89</v>
      </c>
      <c r="G3" s="33">
        <v>2.98</v>
      </c>
    </row>
    <row r="4">
      <c r="A4" s="33">
        <v>16.0</v>
      </c>
      <c r="B4" s="33">
        <v>0.39</v>
      </c>
      <c r="C4" s="33">
        <v>0.59</v>
      </c>
      <c r="E4" s="33">
        <v>16.0</v>
      </c>
      <c r="F4" s="33">
        <v>2.88</v>
      </c>
      <c r="G4" s="33">
        <v>3.22</v>
      </c>
    </row>
    <row r="5">
      <c r="A5" s="33">
        <v>21.0</v>
      </c>
      <c r="B5" s="33">
        <v>0.38</v>
      </c>
      <c r="C5" s="33">
        <v>0.48</v>
      </c>
      <c r="E5" s="33">
        <v>21.0</v>
      </c>
      <c r="F5" s="33">
        <v>2.76</v>
      </c>
      <c r="G5" s="33">
        <v>2.8</v>
      </c>
    </row>
    <row r="6">
      <c r="A6" s="33">
        <v>22.0</v>
      </c>
      <c r="B6" s="33">
        <v>0.45</v>
      </c>
      <c r="C6" s="33">
        <v>0.5</v>
      </c>
      <c r="E6" s="33">
        <v>22.0</v>
      </c>
      <c r="F6" s="33">
        <v>2.94</v>
      </c>
      <c r="G6" s="33">
        <v>3.02</v>
      </c>
    </row>
    <row r="7">
      <c r="A7" s="33">
        <v>24.0</v>
      </c>
      <c r="B7" s="33">
        <v>0.31</v>
      </c>
      <c r="C7" s="33">
        <v>0.28</v>
      </c>
      <c r="E7" s="33">
        <v>24.0</v>
      </c>
      <c r="F7" s="33">
        <v>2.8</v>
      </c>
      <c r="G7" s="33">
        <v>3.05</v>
      </c>
    </row>
    <row r="8">
      <c r="A8" s="33">
        <v>25.0</v>
      </c>
      <c r="B8" s="33">
        <v>0.36</v>
      </c>
      <c r="C8" s="33">
        <v>0.4</v>
      </c>
      <c r="E8" s="33">
        <v>25.0</v>
      </c>
      <c r="F8" s="33">
        <v>2.63</v>
      </c>
      <c r="G8" s="33">
        <v>2.99</v>
      </c>
    </row>
    <row r="9">
      <c r="A9" s="33">
        <v>25.0</v>
      </c>
      <c r="B9" s="33">
        <v>0.45</v>
      </c>
      <c r="C9" s="33">
        <v>0.53</v>
      </c>
      <c r="E9" s="33">
        <v>25.0</v>
      </c>
      <c r="F9" s="33">
        <v>2.56</v>
      </c>
      <c r="G9" s="33">
        <v>2.7</v>
      </c>
    </row>
    <row r="10">
      <c r="A10" s="33">
        <v>35.0</v>
      </c>
      <c r="B10" s="33">
        <v>0.61</v>
      </c>
      <c r="C10" s="33">
        <v>0.93</v>
      </c>
      <c r="E10" s="33">
        <v>35.0</v>
      </c>
      <c r="F10" s="33">
        <v>2.07</v>
      </c>
      <c r="G10" s="33">
        <v>2.8</v>
      </c>
    </row>
    <row r="11">
      <c r="A11" s="33">
        <v>37.0</v>
      </c>
      <c r="B11" s="33">
        <v>0.54</v>
      </c>
      <c r="C11" s="33">
        <v>0.7</v>
      </c>
      <c r="E11" s="33">
        <v>37.0</v>
      </c>
      <c r="F11" s="33">
        <v>2.69</v>
      </c>
      <c r="G11" s="33">
        <v>2.8</v>
      </c>
    </row>
    <row r="12">
      <c r="A12" s="33">
        <v>40.0</v>
      </c>
      <c r="B12" s="33">
        <v>0.54</v>
      </c>
      <c r="C12" s="33">
        <v>0.75</v>
      </c>
      <c r="E12" s="33">
        <v>40.0</v>
      </c>
      <c r="F12" s="33">
        <v>2.46</v>
      </c>
      <c r="G12" s="33">
        <v>2.57</v>
      </c>
    </row>
    <row r="16">
      <c r="A16" s="33">
        <v>23.0</v>
      </c>
      <c r="B16" s="33">
        <v>-0.33</v>
      </c>
      <c r="C16" s="33">
        <v>-0.23</v>
      </c>
      <c r="E16" s="33">
        <v>23.0</v>
      </c>
      <c r="F16" s="33">
        <v>2.2</v>
      </c>
      <c r="G16" s="33">
        <v>2.91</v>
      </c>
    </row>
    <row r="17">
      <c r="A17" s="33">
        <v>31.0</v>
      </c>
      <c r="B17" s="33">
        <v>-0.11</v>
      </c>
      <c r="C17" s="33">
        <v>0.2</v>
      </c>
      <c r="E17" s="33">
        <v>31.0</v>
      </c>
      <c r="F17" s="33">
        <v>2.24</v>
      </c>
      <c r="G17" s="33">
        <v>2.55</v>
      </c>
    </row>
  </sheetData>
  <drawing r:id="rId1"/>
</worksheet>
</file>