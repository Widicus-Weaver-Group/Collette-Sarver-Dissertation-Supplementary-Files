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eath\Documents\Research\Ice-work-laptop\"/>
    </mc:Choice>
  </mc:AlternateContent>
  <xr:revisionPtr revIDLastSave="0" documentId="13_ncr:1_{6C738DF1-0EAF-43C8-959C-4F0E210A60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O13" i="1" l="1"/>
  <c r="E19" i="1" l="1"/>
  <c r="I18" i="1"/>
  <c r="H18" i="1"/>
  <c r="E18" i="1"/>
  <c r="I17" i="1"/>
  <c r="F19" i="1" l="1"/>
  <c r="M19" i="1" s="1"/>
  <c r="N19" i="1" s="1"/>
  <c r="F18" i="1"/>
  <c r="M18" i="1" s="1"/>
  <c r="N18" i="1" s="1"/>
  <c r="K18" i="1"/>
  <c r="L18" i="1" s="1"/>
  <c r="E17" i="1"/>
  <c r="K19" i="1" l="1"/>
  <c r="L19" i="1" s="1"/>
  <c r="G19" i="1"/>
  <c r="H19" i="1" s="1"/>
  <c r="G18" i="1"/>
  <c r="F17" i="1"/>
  <c r="M17" i="1" l="1"/>
  <c r="N17" i="1" s="1"/>
  <c r="G17" i="1"/>
  <c r="H17" i="1" s="1"/>
  <c r="K17" i="1"/>
  <c r="L17" i="1" s="1"/>
  <c r="I11" i="1" l="1"/>
  <c r="H12" i="1" l="1"/>
  <c r="I12" i="1"/>
  <c r="I13" i="1"/>
  <c r="H13" i="1"/>
  <c r="H7" i="1"/>
  <c r="H6" i="1"/>
  <c r="H5" i="1"/>
  <c r="H4" i="1"/>
  <c r="I15" i="1"/>
  <c r="H15" i="1"/>
  <c r="H14" i="1"/>
  <c r="H3" i="1"/>
  <c r="E15" i="1" l="1"/>
  <c r="E6" i="1"/>
  <c r="F6" i="1" s="1"/>
  <c r="G6" i="1" s="1"/>
  <c r="E14" i="1"/>
  <c r="E13" i="1"/>
  <c r="E12" i="1"/>
  <c r="E11" i="1"/>
  <c r="F11" i="1" s="1"/>
  <c r="K11" i="1" s="1"/>
  <c r="E5" i="1"/>
  <c r="I5" i="1" s="1"/>
  <c r="E7" i="1"/>
  <c r="F7" i="1" s="1"/>
  <c r="G7" i="1" s="1"/>
  <c r="E3" i="1"/>
  <c r="F3" i="1" s="1"/>
  <c r="G3" i="1" s="1"/>
  <c r="E4" i="1"/>
  <c r="F4" i="1" s="1"/>
  <c r="G4" i="1" s="1"/>
  <c r="I6" i="1" l="1"/>
  <c r="F15" i="1"/>
  <c r="F13" i="1"/>
  <c r="G13" i="1" s="1"/>
  <c r="I4" i="1"/>
  <c r="F14" i="1"/>
  <c r="M14" i="1" s="1"/>
  <c r="N14" i="1" s="1"/>
  <c r="I14" i="1"/>
  <c r="K3" i="1"/>
  <c r="L3" i="1" s="1"/>
  <c r="K4" i="1"/>
  <c r="L4" i="1" s="1"/>
  <c r="M3" i="1"/>
  <c r="N3" i="1" s="1"/>
  <c r="I7" i="1"/>
  <c r="M11" i="1"/>
  <c r="N11" i="1" s="1"/>
  <c r="L11" i="1"/>
  <c r="G11" i="1"/>
  <c r="H11" i="1" s="1"/>
  <c r="K13" i="1"/>
  <c r="L13" i="1" s="1"/>
  <c r="F12" i="1"/>
  <c r="M4" i="1"/>
  <c r="N4" i="1" s="1"/>
  <c r="M15" i="1"/>
  <c r="N15" i="1" s="1"/>
  <c r="I3" i="1"/>
  <c r="F5" i="1"/>
  <c r="K6" i="1"/>
  <c r="L6" i="1" s="1"/>
  <c r="M6" i="1"/>
  <c r="N6" i="1" s="1"/>
  <c r="K7" i="1"/>
  <c r="L7" i="1" s="1"/>
  <c r="M7" i="1"/>
  <c r="N7" i="1" s="1"/>
  <c r="M13" i="1" l="1"/>
  <c r="N13" i="1" s="1"/>
  <c r="K14" i="1"/>
  <c r="L14" i="1" s="1"/>
  <c r="G14" i="1"/>
  <c r="K15" i="1"/>
  <c r="L15" i="1" s="1"/>
  <c r="G15" i="1"/>
  <c r="M12" i="1"/>
  <c r="N12" i="1" s="1"/>
  <c r="K12" i="1"/>
  <c r="L12" i="1" s="1"/>
  <c r="G12" i="1"/>
  <c r="G5" i="1"/>
  <c r="M5" i="1"/>
  <c r="N5" i="1" s="1"/>
  <c r="K5" i="1"/>
  <c r="L5" i="1" s="1"/>
</calcChain>
</file>

<file path=xl/sharedStrings.xml><?xml version="1.0" encoding="utf-8"?>
<sst xmlns="http://schemas.openxmlformats.org/spreadsheetml/2006/main" count="44" uniqueCount="18">
  <si>
    <t> Associated Fluence</t>
  </si>
  <si>
    <t>Original Flux</t>
  </si>
  <si>
    <t>2.4E14 (100W) 1.85E14 (50W)</t>
  </si>
  <si>
    <t>New length of time if at 100W (s)</t>
  </si>
  <si>
    <t>(min)</t>
  </si>
  <si>
    <t>(hr)</t>
  </si>
  <si>
    <t>Current Flux (100W)</t>
  </si>
  <si>
    <t>Temperature (K)</t>
  </si>
  <si>
    <t>min for TPD</t>
  </si>
  <si>
    <t>Total time (min)</t>
  </si>
  <si>
    <t>Total time (hr)</t>
  </si>
  <si>
    <t>Total time to 310 (hr)</t>
  </si>
  <si>
    <t>Total time to 310 (min)</t>
  </si>
  <si>
    <t>14-19% Methanol</t>
  </si>
  <si>
    <t>100% Methanol</t>
  </si>
  <si>
    <t>total irradiation time (min)</t>
  </si>
  <si>
    <t>(s)</t>
  </si>
  <si>
    <t>More data points!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</si>
</sst>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11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1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1" fontId="1" fillId="0" borderId="6" xfId="0" applyNumberFormat="1" applyFont="1" applyBorder="1" applyAlignment="1">
      <alignment vertical="center" wrapText="1"/>
    </xf>
    <xf numFmtId="11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A9" workbookViewId="0">
      <selection activeCell="N19" sqref="N19"/>
    </sheetView>
  </sheetViews>
  <sheetFormatPr defaultRowHeight="14.5" x14ac:dyDescent="0.35"/>
  <cols>
    <col min="1" max="1" width="10.08984375" customWidth="1"/>
    <col min="2" max="2" width="13.81640625" customWidth="1"/>
    <col min="3" max="3" width="13.36328125" customWidth="1"/>
    <col min="4" max="4" width="9.7265625" customWidth="1"/>
    <col min="5" max="5" width="23.7265625" customWidth="1"/>
    <col min="16" max="16" width="10.81640625" bestFit="1" customWidth="1"/>
  </cols>
  <sheetData>
    <row r="1" spans="1:17" ht="15" thickBot="1" x14ac:dyDescent="0.4">
      <c r="A1" t="s">
        <v>14</v>
      </c>
    </row>
    <row r="2" spans="1:17" ht="30.5" thickBot="1" x14ac:dyDescent="0.4">
      <c r="A2" s="1" t="s">
        <v>7</v>
      </c>
      <c r="B2" s="1" t="s">
        <v>0</v>
      </c>
      <c r="C2" s="1" t="s">
        <v>1</v>
      </c>
      <c r="D2" s="1" t="s">
        <v>6</v>
      </c>
      <c r="E2" s="1" t="s">
        <v>3</v>
      </c>
      <c r="F2" s="3" t="s">
        <v>15</v>
      </c>
      <c r="G2" s="3" t="s">
        <v>5</v>
      </c>
      <c r="H2" s="3" t="s">
        <v>4</v>
      </c>
      <c r="I2" s="3" t="s">
        <v>16</v>
      </c>
      <c r="J2" s="3" t="s">
        <v>8</v>
      </c>
      <c r="K2" s="3" t="s">
        <v>9</v>
      </c>
      <c r="L2" s="3" t="s">
        <v>10</v>
      </c>
      <c r="M2" s="3" t="s">
        <v>12</v>
      </c>
      <c r="N2" s="3" t="s">
        <v>11</v>
      </c>
    </row>
    <row r="3" spans="1:17" ht="20.5" thickBot="1" x14ac:dyDescent="0.4">
      <c r="A3" s="4">
        <v>20</v>
      </c>
      <c r="B3" s="2">
        <v>1.54E+17</v>
      </c>
      <c r="C3" s="1" t="s">
        <v>2</v>
      </c>
      <c r="D3" s="2">
        <v>106000000000000</v>
      </c>
      <c r="E3" s="1">
        <f>B3/D3</f>
        <v>1452.8301886792453</v>
      </c>
      <c r="F3">
        <f>E3/60</f>
        <v>24.213836477987421</v>
      </c>
      <c r="G3">
        <f>F3/60</f>
        <v>0.40356394129979034</v>
      </c>
      <c r="H3">
        <f>G3*60</f>
        <v>24.213836477987421</v>
      </c>
      <c r="I3">
        <f>E3-(24*60)</f>
        <v>12.830188679245339</v>
      </c>
      <c r="J3">
        <v>10</v>
      </c>
      <c r="K3">
        <f>J3+F3</f>
        <v>34.213836477987421</v>
      </c>
      <c r="L3">
        <f>K3/60</f>
        <v>0.57023060796645697</v>
      </c>
      <c r="M3">
        <f>F3+300</f>
        <v>324.2138364779874</v>
      </c>
      <c r="N3">
        <f>M3/60</f>
        <v>5.4035639412997902</v>
      </c>
    </row>
    <row r="4" spans="1:17" ht="20.5" thickBot="1" x14ac:dyDescent="0.4">
      <c r="A4" s="4">
        <v>50</v>
      </c>
      <c r="B4" s="2">
        <v>6.17E+17</v>
      </c>
      <c r="C4" s="1" t="s">
        <v>2</v>
      </c>
      <c r="D4" s="2">
        <v>110918674698795.19</v>
      </c>
      <c r="E4" s="1">
        <f t="shared" ref="E4:E7" si="0">B4/D4</f>
        <v>5562.6340801086217</v>
      </c>
      <c r="F4">
        <f t="shared" ref="F4:F7" si="1">E4/60</f>
        <v>92.710568001810358</v>
      </c>
      <c r="G4">
        <f>F4/60</f>
        <v>1.5451761333635059</v>
      </c>
      <c r="H4">
        <f>(G4*60)-(1*60)</f>
        <v>32.710568001810358</v>
      </c>
      <c r="I4">
        <f>E4-(92*60)</f>
        <v>42.634080108621674</v>
      </c>
      <c r="J4">
        <v>40</v>
      </c>
      <c r="K4">
        <f>J4+F4</f>
        <v>132.71056800181037</v>
      </c>
      <c r="L4">
        <f t="shared" ref="L4:L7" si="2">K4/60</f>
        <v>2.2118428000301731</v>
      </c>
      <c r="M4">
        <f>F4+300</f>
        <v>392.71056800181037</v>
      </c>
      <c r="N4">
        <f t="shared" ref="N4:N7" si="3">M4/60</f>
        <v>6.5451761333635066</v>
      </c>
    </row>
    <row r="5" spans="1:17" ht="20.5" thickBot="1" x14ac:dyDescent="0.4">
      <c r="A5" s="4">
        <v>100</v>
      </c>
      <c r="B5" s="2">
        <v>1.39E+18</v>
      </c>
      <c r="C5" s="1" t="s">
        <v>2</v>
      </c>
      <c r="D5" s="2">
        <v>112319277108433.73</v>
      </c>
      <c r="E5" s="1">
        <f t="shared" si="0"/>
        <v>12375.435773665862</v>
      </c>
      <c r="F5">
        <f t="shared" si="1"/>
        <v>206.25726289443102</v>
      </c>
      <c r="G5">
        <f>F5/60</f>
        <v>3.437621048240517</v>
      </c>
      <c r="H5">
        <f>(G5*60)-(3*60)</f>
        <v>26.257262894431022</v>
      </c>
      <c r="I5">
        <f>E5-(206*60)</f>
        <v>15.435773665862143</v>
      </c>
      <c r="J5">
        <v>90</v>
      </c>
      <c r="K5">
        <f>J5+F5</f>
        <v>296.25726289443105</v>
      </c>
      <c r="L5">
        <f t="shared" si="2"/>
        <v>4.9376210482405174</v>
      </c>
      <c r="M5">
        <f>F5+300</f>
        <v>506.25726289443105</v>
      </c>
      <c r="N5">
        <f t="shared" si="3"/>
        <v>8.4376210482405174</v>
      </c>
    </row>
    <row r="6" spans="1:17" ht="20.5" thickBot="1" x14ac:dyDescent="0.4">
      <c r="A6" s="4">
        <v>130</v>
      </c>
      <c r="B6" s="2">
        <v>1.85E+18</v>
      </c>
      <c r="C6" s="1" t="s">
        <v>2</v>
      </c>
      <c r="D6" s="2">
        <v>75948795180722.891</v>
      </c>
      <c r="E6" s="1">
        <f t="shared" si="0"/>
        <v>24358.516755899265</v>
      </c>
      <c r="F6">
        <f t="shared" si="1"/>
        <v>405.97527926498776</v>
      </c>
      <c r="G6">
        <f>F6/60</f>
        <v>6.7662546544164623</v>
      </c>
      <c r="H6">
        <f>(G6*60)-(6*60)</f>
        <v>45.975279264987762</v>
      </c>
      <c r="I6">
        <f>E6-(405*60)</f>
        <v>58.516755899265263</v>
      </c>
      <c r="J6">
        <v>120</v>
      </c>
      <c r="K6">
        <f>J6+F6</f>
        <v>525.97527926498776</v>
      </c>
      <c r="L6">
        <f t="shared" si="2"/>
        <v>8.7662546544164623</v>
      </c>
      <c r="M6">
        <f>F6+300</f>
        <v>705.97527926498776</v>
      </c>
      <c r="N6">
        <f t="shared" si="3"/>
        <v>11.766254654416462</v>
      </c>
    </row>
    <row r="7" spans="1:17" ht="20.5" thickBot="1" x14ac:dyDescent="0.4">
      <c r="A7" s="4">
        <v>150</v>
      </c>
      <c r="B7" s="2">
        <v>2.16E+18</v>
      </c>
      <c r="C7" s="1" t="s">
        <v>2</v>
      </c>
      <c r="D7" s="2">
        <v>80466867469879.516</v>
      </c>
      <c r="E7" s="1">
        <f t="shared" si="0"/>
        <v>26843.346434587311</v>
      </c>
      <c r="F7">
        <f t="shared" si="1"/>
        <v>447.38910724312183</v>
      </c>
      <c r="G7">
        <f>F7/60</f>
        <v>7.4564851207186971</v>
      </c>
      <c r="H7">
        <f>(G7*60)-(7*60)</f>
        <v>27.389107243121828</v>
      </c>
      <c r="I7">
        <f>E7-(447*60)</f>
        <v>23.346434587310796</v>
      </c>
      <c r="J7">
        <v>140</v>
      </c>
      <c r="K7">
        <f>J7+F7</f>
        <v>587.38910724312177</v>
      </c>
      <c r="L7">
        <f t="shared" si="2"/>
        <v>9.7898184540520301</v>
      </c>
      <c r="M7">
        <f>F7+300</f>
        <v>747.38910724312177</v>
      </c>
      <c r="N7">
        <f t="shared" si="3"/>
        <v>12.456485120718696</v>
      </c>
    </row>
    <row r="8" spans="1:17" x14ac:dyDescent="0.35">
      <c r="P8" s="5"/>
    </row>
    <row r="9" spans="1:17" ht="15" thickBot="1" x14ac:dyDescent="0.4">
      <c r="A9" t="s">
        <v>13</v>
      </c>
    </row>
    <row r="10" spans="1:17" ht="30.5" thickBot="1" x14ac:dyDescent="0.4">
      <c r="A10" s="1" t="s">
        <v>7</v>
      </c>
      <c r="B10" s="1" t="s">
        <v>0</v>
      </c>
      <c r="C10" s="1" t="s">
        <v>1</v>
      </c>
      <c r="D10" s="1" t="s">
        <v>6</v>
      </c>
      <c r="E10" s="1" t="s">
        <v>3</v>
      </c>
      <c r="F10" s="3" t="s">
        <v>15</v>
      </c>
      <c r="G10" s="3" t="s">
        <v>5</v>
      </c>
      <c r="H10" s="3" t="s">
        <v>4</v>
      </c>
      <c r="I10" s="3" t="s">
        <v>16</v>
      </c>
      <c r="J10" s="3" t="s">
        <v>8</v>
      </c>
      <c r="K10" s="3" t="s">
        <v>9</v>
      </c>
      <c r="L10" s="3" t="s">
        <v>10</v>
      </c>
      <c r="M10" s="3" t="s">
        <v>12</v>
      </c>
      <c r="N10" s="3" t="s">
        <v>11</v>
      </c>
      <c r="Q10" s="6"/>
    </row>
    <row r="11" spans="1:17" ht="20.5" thickBot="1" x14ac:dyDescent="0.4">
      <c r="A11" s="4">
        <v>20</v>
      </c>
      <c r="B11" s="2">
        <v>1.54E+17</v>
      </c>
      <c r="C11" s="1" t="s">
        <v>2</v>
      </c>
      <c r="D11" s="2">
        <v>129713855421686.73</v>
      </c>
      <c r="E11" s="1">
        <f>B11/D11</f>
        <v>1187.2286079182632</v>
      </c>
      <c r="F11">
        <f>E11/60</f>
        <v>19.787143465304386</v>
      </c>
      <c r="G11">
        <f>F11/60</f>
        <v>0.32978572442173976</v>
      </c>
      <c r="H11">
        <f>G11*60</f>
        <v>19.787143465304386</v>
      </c>
      <c r="I11">
        <f>E11-(19*60)</f>
        <v>47.228607918263151</v>
      </c>
      <c r="J11">
        <v>10</v>
      </c>
      <c r="K11">
        <f>J11+F11</f>
        <v>29.787143465304386</v>
      </c>
      <c r="L11">
        <f>K11/60</f>
        <v>0.49645239108840644</v>
      </c>
      <c r="M11">
        <f>F11+300</f>
        <v>319.78714346530438</v>
      </c>
      <c r="N11">
        <f>M11/60</f>
        <v>5.3297857244217397</v>
      </c>
    </row>
    <row r="12" spans="1:17" ht="20.5" thickBot="1" x14ac:dyDescent="0.4">
      <c r="A12" s="4">
        <v>50</v>
      </c>
      <c r="B12" s="2">
        <v>6.17E+17</v>
      </c>
      <c r="C12" s="1" t="s">
        <v>2</v>
      </c>
      <c r="D12" s="2">
        <v>103373493975903.61</v>
      </c>
      <c r="E12" s="1">
        <f t="shared" ref="E12:E14" si="4">B12/D12</f>
        <v>5968.6480186480194</v>
      </c>
      <c r="F12">
        <f t="shared" ref="F12:F14" si="5">E12/60</f>
        <v>99.477466977466989</v>
      </c>
      <c r="G12">
        <f>F12/60</f>
        <v>1.6579577829577832</v>
      </c>
      <c r="H12">
        <f>(G12*60)-(1*60)</f>
        <v>39.477466977466989</v>
      </c>
      <c r="I12">
        <f>E12-(99*60)</f>
        <v>28.648018648019388</v>
      </c>
      <c r="J12">
        <v>40</v>
      </c>
      <c r="K12">
        <f>J12+F12</f>
        <v>139.47746697746697</v>
      </c>
      <c r="L12">
        <f t="shared" ref="L12:L15" si="6">K12/60</f>
        <v>2.3246244496244497</v>
      </c>
      <c r="M12">
        <f>F12+300</f>
        <v>399.47746697746697</v>
      </c>
      <c r="N12">
        <f t="shared" ref="N12:N15" si="7">M12/60</f>
        <v>6.6579577829577827</v>
      </c>
    </row>
    <row r="13" spans="1:17" ht="20.5" thickBot="1" x14ac:dyDescent="0.4">
      <c r="A13" s="4">
        <v>100</v>
      </c>
      <c r="B13" s="2">
        <v>1.39E+18</v>
      </c>
      <c r="C13" s="1" t="s">
        <v>2</v>
      </c>
      <c r="D13" s="2">
        <v>93930722891566.266</v>
      </c>
      <c r="E13" s="1">
        <f t="shared" si="4"/>
        <v>14798.140131473465</v>
      </c>
      <c r="F13">
        <f t="shared" si="5"/>
        <v>246.63566885789109</v>
      </c>
      <c r="G13">
        <f>F13/60</f>
        <v>4.1105944809648518</v>
      </c>
      <c r="H13">
        <f>(G13*60)-(4*60)</f>
        <v>6.6356688578911189</v>
      </c>
      <c r="I13">
        <f>E13-(246*60)</f>
        <v>38.140131473464862</v>
      </c>
      <c r="J13">
        <v>90</v>
      </c>
      <c r="K13">
        <f>J13+F13</f>
        <v>336.63566885789112</v>
      </c>
      <c r="L13">
        <f t="shared" si="6"/>
        <v>5.6105944809648518</v>
      </c>
      <c r="M13">
        <f>F13+300</f>
        <v>546.63566885789112</v>
      </c>
      <c r="N13">
        <f t="shared" si="7"/>
        <v>9.1105944809648527</v>
      </c>
      <c r="O13">
        <f>0.000000019/0.00000000087</f>
        <v>21.839080459770116</v>
      </c>
    </row>
    <row r="14" spans="1:17" ht="20.5" thickBot="1" x14ac:dyDescent="0.4">
      <c r="A14" s="4">
        <v>130</v>
      </c>
      <c r="B14" s="2">
        <v>1.85E+18</v>
      </c>
      <c r="C14" s="1" t="s">
        <v>2</v>
      </c>
      <c r="D14" s="2">
        <v>79246987951807.219</v>
      </c>
      <c r="E14" s="1">
        <f t="shared" si="4"/>
        <v>23344.735841885216</v>
      </c>
      <c r="F14">
        <f t="shared" si="5"/>
        <v>389.07893069808694</v>
      </c>
      <c r="G14">
        <f>F14/60</f>
        <v>6.4846488449681159</v>
      </c>
      <c r="H14">
        <f>(G14*60)-(6*60)</f>
        <v>29.078930698086936</v>
      </c>
      <c r="I14">
        <f>E14-(389*60)</f>
        <v>4.7358418852163595</v>
      </c>
      <c r="J14">
        <v>120</v>
      </c>
      <c r="K14">
        <f>J14+F14</f>
        <v>509.07893069808694</v>
      </c>
      <c r="L14">
        <f t="shared" si="6"/>
        <v>8.484648844968115</v>
      </c>
      <c r="M14">
        <f>F14+300</f>
        <v>689.07893069808688</v>
      </c>
      <c r="N14">
        <f t="shared" si="7"/>
        <v>11.484648844968115</v>
      </c>
    </row>
    <row r="15" spans="1:17" ht="20.5" thickBot="1" x14ac:dyDescent="0.4">
      <c r="A15" s="4">
        <v>150</v>
      </c>
      <c r="B15" s="2">
        <v>2.16E+18</v>
      </c>
      <c r="C15" s="1" t="s">
        <v>2</v>
      </c>
      <c r="D15" s="2">
        <v>93750000000000</v>
      </c>
      <c r="E15" s="2">
        <f>B15/D15</f>
        <v>23040</v>
      </c>
      <c r="F15">
        <f>E15/60</f>
        <v>384</v>
      </c>
      <c r="G15">
        <f>F15/60</f>
        <v>6.4</v>
      </c>
      <c r="H15">
        <f>(G15*60)-(6*60)</f>
        <v>24</v>
      </c>
      <c r="I15">
        <f>E15-(384*60)</f>
        <v>0</v>
      </c>
      <c r="J15">
        <v>140</v>
      </c>
      <c r="K15">
        <f>J15+F15</f>
        <v>524</v>
      </c>
      <c r="L15">
        <f t="shared" si="6"/>
        <v>8.7333333333333325</v>
      </c>
      <c r="M15">
        <f>F15+300</f>
        <v>684</v>
      </c>
      <c r="N15">
        <f t="shared" si="7"/>
        <v>11.4</v>
      </c>
    </row>
    <row r="16" spans="1:17" ht="15" thickBot="1" x14ac:dyDescent="0.4">
      <c r="A16" t="s">
        <v>17</v>
      </c>
    </row>
    <row r="17" spans="1:14" ht="20.5" thickBot="1" x14ac:dyDescent="0.4">
      <c r="A17" s="4">
        <v>70</v>
      </c>
      <c r="B17" s="2">
        <v>9.26E+17</v>
      </c>
      <c r="C17" s="1" t="s">
        <v>2</v>
      </c>
      <c r="D17" s="2">
        <v>104277108433734.94</v>
      </c>
      <c r="E17" s="1">
        <f>B17/D17</f>
        <v>8880.1848642403238</v>
      </c>
      <c r="F17">
        <f>E17/60</f>
        <v>148.00308107067207</v>
      </c>
      <c r="G17">
        <f>F17/60</f>
        <v>2.4667180178445345</v>
      </c>
      <c r="H17">
        <f>G17*60</f>
        <v>148.00308107067207</v>
      </c>
      <c r="I17">
        <f>E17-(148*60)</f>
        <v>0.18486424032380455</v>
      </c>
      <c r="J17">
        <v>60</v>
      </c>
      <c r="K17">
        <f>J17+F17</f>
        <v>208.00308107067207</v>
      </c>
      <c r="L17">
        <f>K17/60</f>
        <v>3.4667180178445345</v>
      </c>
      <c r="M17">
        <f>F17+300</f>
        <v>448.00308107067207</v>
      </c>
      <c r="N17">
        <f>M17/60</f>
        <v>7.466718017844534</v>
      </c>
    </row>
    <row r="18" spans="1:14" ht="20.5" thickBot="1" x14ac:dyDescent="0.4">
      <c r="A18" s="4">
        <v>150</v>
      </c>
      <c r="B18" s="2">
        <v>2.16E+18</v>
      </c>
      <c r="C18" s="1" t="s">
        <v>2</v>
      </c>
      <c r="D18" s="9">
        <v>104277108433734.94</v>
      </c>
      <c r="E18" s="1">
        <f>B18/D18</f>
        <v>20714.038128249565</v>
      </c>
      <c r="F18">
        <f>E18/60</f>
        <v>345.23396880415942</v>
      </c>
      <c r="G18">
        <f>F18/60</f>
        <v>5.7538994800693235</v>
      </c>
      <c r="H18">
        <f>(G18*60)-(5*60)</f>
        <v>45.233968804159417</v>
      </c>
      <c r="I18">
        <f>E18-(345*60)</f>
        <v>14.038128249565489</v>
      </c>
      <c r="J18">
        <v>140</v>
      </c>
      <c r="K18">
        <f>J18+F18</f>
        <v>485.23396880415942</v>
      </c>
      <c r="L18">
        <f t="shared" ref="L18:L19" si="8">K18/60</f>
        <v>8.0872328134026574</v>
      </c>
      <c r="M18">
        <f>F18+300</f>
        <v>645.23396880415942</v>
      </c>
      <c r="N18">
        <f t="shared" ref="N18:N19" si="9">M18/60</f>
        <v>10.753899480069324</v>
      </c>
    </row>
    <row r="19" spans="1:14" ht="20.5" thickBot="1" x14ac:dyDescent="0.4">
      <c r="A19" s="4">
        <v>130</v>
      </c>
      <c r="B19" s="2">
        <v>1.85E+18</v>
      </c>
      <c r="C19" s="7" t="s">
        <v>2</v>
      </c>
      <c r="D19" s="10">
        <v>81686746987951.797</v>
      </c>
      <c r="E19" s="8">
        <f t="shared" ref="E19" si="10">B19/D19</f>
        <v>22647.492625368734</v>
      </c>
      <c r="F19">
        <f t="shared" ref="F19" si="11">E19/60</f>
        <v>377.45821042281221</v>
      </c>
      <c r="G19">
        <f>F19/60</f>
        <v>6.2909701737135366</v>
      </c>
      <c r="H19">
        <f>(G19*60)-(6*60)</f>
        <v>17.458210422812215</v>
      </c>
      <c r="I19">
        <f>E19-(377*60)</f>
        <v>27.49262536873357</v>
      </c>
      <c r="J19">
        <v>120</v>
      </c>
      <c r="K19">
        <f>J19+F19</f>
        <v>497.45821042281221</v>
      </c>
      <c r="L19">
        <f t="shared" si="8"/>
        <v>8.2909701737135375</v>
      </c>
      <c r="M19">
        <f>F19+300</f>
        <v>677.45821042281227</v>
      </c>
      <c r="N19">
        <f t="shared" si="9"/>
        <v>11.290970173713538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Collette Sarver</dc:creator>
  <cp:lastModifiedBy>Collette Sarver</cp:lastModifiedBy>
  <dcterms:created xsi:type="dcterms:W3CDTF">2015-06-05T18:17:20Z</dcterms:created>
  <dcterms:modified xsi:type="dcterms:W3CDTF">2025-09-02T14:56:16Z</dcterms:modified>
</cp:coreProperties>
</file>