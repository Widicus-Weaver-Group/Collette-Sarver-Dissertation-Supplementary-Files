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th\Documents\Research\Ice-work-laptop\"/>
    </mc:Choice>
  </mc:AlternateContent>
  <xr:revisionPtr revIDLastSave="0" documentId="13_ncr:1_{E3F13080-086E-41E4-B4C2-FD903FF98359}" xr6:coauthVersionLast="47" xr6:coauthVersionMax="47" xr10:uidLastSave="{00000000-0000-0000-0000-000000000000}"/>
  <bookViews>
    <workbookView xWindow="-110" yWindow="-110" windowWidth="19420" windowHeight="10420" xr2:uid="{9B637F2B-A32E-4405-9459-CCE5D9CF9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1" l="1" a="1"/>
  <c r="E71" i="1" s="1"/>
  <c r="B71" i="1"/>
  <c r="C71" i="1" a="1"/>
  <c r="C71" i="1" s="1"/>
  <c r="B78" i="1"/>
  <c r="B77" i="1"/>
  <c r="B72" i="1" l="1"/>
  <c r="E60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B60" i="1"/>
  <c r="B61" i="1"/>
  <c r="B62" i="1"/>
  <c r="B63" i="1"/>
  <c r="B6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E5" i="1"/>
  <c r="E4" i="1"/>
  <c r="E3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K20" i="1" l="1"/>
  <c r="I20" i="1"/>
  <c r="A39" i="1" s="1"/>
  <c r="C40" i="1" s="1"/>
  <c r="C50" i="1" l="1"/>
  <c r="C43" i="1"/>
  <c r="C47" i="1"/>
  <c r="C41" i="1"/>
  <c r="C39" i="1"/>
  <c r="C45" i="1"/>
  <c r="C52" i="1"/>
  <c r="C48" i="1"/>
  <c r="A38" i="1"/>
  <c r="B48" i="1" s="1"/>
  <c r="C49" i="1"/>
  <c r="C56" i="1"/>
  <c r="C51" i="1"/>
  <c r="C46" i="1"/>
  <c r="C54" i="1"/>
  <c r="C55" i="1"/>
  <c r="C44" i="1"/>
  <c r="C53" i="1"/>
  <c r="C42" i="1"/>
  <c r="B43" i="1" l="1"/>
  <c r="B53" i="1"/>
  <c r="B38" i="1"/>
  <c r="B46" i="1"/>
  <c r="B54" i="1"/>
  <c r="B41" i="1"/>
  <c r="B40" i="1"/>
  <c r="B44" i="1"/>
  <c r="E59" i="1"/>
  <c r="B50" i="1"/>
  <c r="B42" i="1"/>
  <c r="B39" i="1"/>
  <c r="B45" i="1"/>
  <c r="B51" i="1"/>
  <c r="B56" i="1"/>
  <c r="B55" i="1"/>
  <c r="B49" i="1"/>
  <c r="B52" i="1"/>
  <c r="B4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<sst xmlns="http://schemas.openxmlformats.org/spreadsheetml/2006/main" count="28" uniqueCount="25">
  <si>
    <t>time (min) 1</t>
  </si>
  <si>
    <t>time (min)</t>
  </si>
  <si>
    <t>Manipulated Int Abs</t>
  </si>
  <si>
    <t>Integrated Absorbance 5mm MgF2 Window</t>
  </si>
  <si>
    <t>Manipulated Int Abs 50W</t>
  </si>
  <si>
    <t>Integrated Absorbance 50W</t>
  </si>
  <si>
    <t>Integrated Absorbance 100 W</t>
  </si>
  <si>
    <t>50 W Window</t>
  </si>
  <si>
    <t>Manipulated Literature Values</t>
  </si>
  <si>
    <t>Literature Integrated absorbance of band 956</t>
  </si>
  <si>
    <t>Literature flux value</t>
  </si>
  <si>
    <t>Flux (100W) photons/cm^2s</t>
  </si>
  <si>
    <t>Flux (50W) photons/cm^2s</t>
  </si>
  <si>
    <t>Ratio 50W/100W</t>
  </si>
  <si>
    <t>Average ratio</t>
  </si>
  <si>
    <t>Literature/7.5</t>
  </si>
  <si>
    <t>50W flux*1.29685513</t>
  </si>
  <si>
    <t>77.1 % 100 W</t>
  </si>
  <si>
    <t>Literature all points</t>
  </si>
  <si>
    <t>RSE</t>
  </si>
  <si>
    <t>100W</t>
  </si>
  <si>
    <t>50W</t>
  </si>
  <si>
    <t>Literature 4 points?</t>
  </si>
  <si>
    <t>m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</si>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</sst>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Literature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0</c:v>
                </c:pt>
                <c:pt idx="1">
                  <c:v>0.19079199999999999</c:v>
                </c:pt>
                <c:pt idx="2">
                  <c:v>0.29291499999999998</c:v>
                </c:pt>
                <c:pt idx="3">
                  <c:v>0.37284200000000001</c:v>
                </c:pt>
                <c:pt idx="4">
                  <c:v>0.39694299999999999</c:v>
                </c:pt>
                <c:pt idx="5">
                  <c:v>0.41162799999999999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A2-4EBE-AE38-CAB58EFE0B68}"/>
            </c:ext>
          </c:extLst>
        </c:ser>
        <c:ser>
          <c:idx val="2"/>
          <c:order val="1"/>
          <c:tx>
            <c:v>5 mm MgF2 Window Man.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Sheet1!$B$2:$B$20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  <c:pt idx="4">
                  <c:v>21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</c:numCache>
            </c:numRef>
          </c:xVal>
          <c:yVal>
            <c:numRef>
              <c:f>Sheet1!$E$2:$E$20</c:f>
              <c:numCache>
                <c:formatCode>General</c:formatCode>
                <c:ptCount val="19"/>
                <c:pt idx="0">
                  <c:v>0</c:v>
                </c:pt>
                <c:pt idx="1">
                  <c:v>0.20472000000000001</c:v>
                </c:pt>
                <c:pt idx="2">
                  <c:v>0.24479999999999999</c:v>
                </c:pt>
                <c:pt idx="3">
                  <c:v>0.28367999999999999</c:v>
                </c:pt>
                <c:pt idx="4">
                  <c:v>0.29920000000000002</c:v>
                </c:pt>
                <c:pt idx="5">
                  <c:v>0.31807999999999997</c:v>
                </c:pt>
                <c:pt idx="6">
                  <c:v>0.33776</c:v>
                </c:pt>
                <c:pt idx="7">
                  <c:v>0.35048000000000001</c:v>
                </c:pt>
                <c:pt idx="8">
                  <c:v>0.36352000000000001</c:v>
                </c:pt>
                <c:pt idx="9">
                  <c:v>0.38640000000000002</c:v>
                </c:pt>
                <c:pt idx="10">
                  <c:v>0.38479999999999998</c:v>
                </c:pt>
                <c:pt idx="11">
                  <c:v>0.39360000000000001</c:v>
                </c:pt>
                <c:pt idx="12">
                  <c:v>0.39679999999999999</c:v>
                </c:pt>
                <c:pt idx="13">
                  <c:v>0.4304</c:v>
                </c:pt>
                <c:pt idx="14">
                  <c:v>0.43759999999999999</c:v>
                </c:pt>
                <c:pt idx="15">
                  <c:v>0.4496</c:v>
                </c:pt>
                <c:pt idx="16">
                  <c:v>0.45839999999999997</c:v>
                </c:pt>
                <c:pt idx="17">
                  <c:v>0.48720000000000002</c:v>
                </c:pt>
                <c:pt idx="18">
                  <c:v>0.49440000000000001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A2-4EBE-AE38-CAB58EFE0B68}"/>
            </c:ext>
          </c:extLst>
        </c:ser>
        <c:ser>
          <c:idx val="4"/>
          <c:order val="2"/>
          <c:tx>
            <c:v>50 W No Window Man.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Sheet1!$B$2:$B$20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  <c:pt idx="4">
                  <c:v>21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</c:numCache>
            </c:numRef>
          </c:xVal>
          <c:yVal>
            <c:numRef>
              <c:f>Sheet1!$G$2:$G$20</c:f>
              <c:numCache>
                <c:formatCode>General</c:formatCode>
                <c:ptCount val="19"/>
                <c:pt idx="0">
                  <c:v>0</c:v>
                </c:pt>
                <c:pt idx="1">
                  <c:v>0.14191999999999999</c:v>
                </c:pt>
                <c:pt idx="2">
                  <c:v>0.21024000000000001</c:v>
                </c:pt>
                <c:pt idx="3">
                  <c:v>0.25600000000000001</c:v>
                </c:pt>
                <c:pt idx="4">
                  <c:v>0.2928</c:v>
                </c:pt>
                <c:pt idx="5">
                  <c:v>0.34320000000000001</c:v>
                </c:pt>
                <c:pt idx="6">
                  <c:v>0.36159999999999998</c:v>
                </c:pt>
                <c:pt idx="7">
                  <c:v>0.38319999999999999</c:v>
                </c:pt>
                <c:pt idx="8">
                  <c:v>0.40479999999999999</c:v>
                </c:pt>
                <c:pt idx="9">
                  <c:v>0.42159999999999997</c:v>
                </c:pt>
                <c:pt idx="10">
                  <c:v>0.42880000000000001</c:v>
                </c:pt>
                <c:pt idx="11">
                  <c:v>0.42399999999999999</c:v>
                </c:pt>
                <c:pt idx="12">
                  <c:v>0.40720000000000001</c:v>
                </c:pt>
                <c:pt idx="13">
                  <c:v>0.38640000000000002</c:v>
                </c:pt>
                <c:pt idx="14">
                  <c:v>0.32079999999999997</c:v>
                </c:pt>
                <c:pt idx="15">
                  <c:v>0.36799999999999999</c:v>
                </c:pt>
                <c:pt idx="16">
                  <c:v>0.55279999999999996</c:v>
                </c:pt>
                <c:pt idx="17">
                  <c:v>0.61439999999999995</c:v>
                </c:pt>
                <c:pt idx="18">
                  <c:v>0.65039999999999998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D4-497B-884C-C7F04842F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048224"/>
        <c:axId val="59790974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3"/>
                <c:tx>
                  <c:v>5mm MgF2 Window Original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Sheet1!$B$2:$B$20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17</c:v>
                      </c:pt>
                      <c:pt idx="4">
                        <c:v>21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70</c:v>
                      </c:pt>
                      <c:pt idx="14">
                        <c:v>80</c:v>
                      </c:pt>
                      <c:pt idx="15">
                        <c:v>90</c:v>
                      </c:pt>
                      <c:pt idx="16">
                        <c:v>100</c:v>
                      </c:pt>
                      <c:pt idx="17">
                        <c:v>110</c:v>
                      </c:pt>
                      <c:pt idx="18">
                        <c:v>120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Sheet1!$D$2:$D$20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2.5590000000000002E-2</c:v>
                      </c:pt>
                      <c:pt idx="2">
                        <c:v>3.0599999999999999E-2</c:v>
                      </c:pt>
                      <c:pt idx="3">
                        <c:v>3.5459999999999998E-2</c:v>
                      </c:pt>
                      <c:pt idx="4">
                        <c:v>3.7400000000000003E-2</c:v>
                      </c:pt>
                      <c:pt idx="5">
                        <c:v>3.9759999999999997E-2</c:v>
                      </c:pt>
                      <c:pt idx="6">
                        <c:v>4.2220000000000001E-2</c:v>
                      </c:pt>
                      <c:pt idx="7">
                        <c:v>4.3810000000000002E-2</c:v>
                      </c:pt>
                      <c:pt idx="8">
                        <c:v>4.5440000000000001E-2</c:v>
                      </c:pt>
                      <c:pt idx="9">
                        <c:v>4.8300000000000003E-2</c:v>
                      </c:pt>
                      <c:pt idx="10">
                        <c:v>4.8099999999999997E-2</c:v>
                      </c:pt>
                      <c:pt idx="11">
                        <c:v>4.9200000000000001E-2</c:v>
                      </c:pt>
                      <c:pt idx="12">
                        <c:v>4.9599999999999998E-2</c:v>
                      </c:pt>
                      <c:pt idx="13">
                        <c:v>5.3800000000000001E-2</c:v>
                      </c:pt>
                      <c:pt idx="14">
                        <c:v>5.4699999999999999E-2</c:v>
                      </c:pt>
                      <c:pt idx="15">
                        <c:v>5.62E-2</c:v>
                      </c:pt>
                      <c:pt idx="16">
                        <c:v>5.7299999999999997E-2</c:v>
                      </c:pt>
                      <c:pt idx="17">
                        <c:v>6.0900000000000003E-2</c:v>
                      </c:pt>
                      <c:pt idx="18">
                        <c:v>6.1800000000000001E-2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BA2-4EBE-AE38-CAB58EFE0B68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50 W No Window Original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Sheet1!$B$2:$B$20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17</c:v>
                      </c:pt>
                      <c:pt idx="4">
                        <c:v>21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70</c:v>
                      </c:pt>
                      <c:pt idx="14">
                        <c:v>80</c:v>
                      </c:pt>
                      <c:pt idx="15">
                        <c:v>90</c:v>
                      </c:pt>
                      <c:pt idx="16">
                        <c:v>100</c:v>
                      </c:pt>
                      <c:pt idx="17">
                        <c:v>110</c:v>
                      </c:pt>
                      <c:pt idx="18">
                        <c:v>120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1.7739999999999999E-2</c:v>
                      </c:pt>
                      <c:pt idx="2">
                        <c:v>2.6280000000000001E-2</c:v>
                      </c:pt>
                      <c:pt idx="3">
                        <c:v>3.2000000000000001E-2</c:v>
                      </c:pt>
                      <c:pt idx="4">
                        <c:v>3.6600000000000001E-2</c:v>
                      </c:pt>
                      <c:pt idx="5">
                        <c:v>4.2900000000000001E-2</c:v>
                      </c:pt>
                      <c:pt idx="6">
                        <c:v>4.5199999999999997E-2</c:v>
                      </c:pt>
                      <c:pt idx="7">
                        <c:v>4.7899999999999998E-2</c:v>
                      </c:pt>
                      <c:pt idx="8">
                        <c:v>5.0599999999999999E-2</c:v>
                      </c:pt>
                      <c:pt idx="9">
                        <c:v>5.2699999999999997E-2</c:v>
                      </c:pt>
                      <c:pt idx="10">
                        <c:v>5.3600000000000002E-2</c:v>
                      </c:pt>
                      <c:pt idx="11">
                        <c:v>5.2999999999999999E-2</c:v>
                      </c:pt>
                      <c:pt idx="12">
                        <c:v>5.0900000000000001E-2</c:v>
                      </c:pt>
                      <c:pt idx="13">
                        <c:v>4.8300000000000003E-2</c:v>
                      </c:pt>
                      <c:pt idx="14">
                        <c:v>4.0099999999999997E-2</c:v>
                      </c:pt>
                      <c:pt idx="15">
                        <c:v>4.5999999999999999E-2</c:v>
                      </c:pt>
                      <c:pt idx="16">
                        <c:v>6.9099999999999995E-2</c:v>
                      </c:pt>
                      <c:pt idx="17">
                        <c:v>7.6799999999999993E-2</c:v>
                      </c:pt>
                      <c:pt idx="18">
                        <c:v>8.1299999999999997E-2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3D4-497B-884C-C7F04842F45B}"/>
                  </c:ext>
                </c:extLst>
              </c15:ser>
            </c15:filteredScatterSeries>
          </c:ext>
        </c:extLst>
      </c:scatterChart>
      <c:valAx>
        <c:axId val="605048224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Irradiation</a:t>
                </a:r>
                <a:r>
                  <a:rPr lang="en-US" baseline="0"/>
                  <a:t> Time (min)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09744"/>
        <c:crosses val="autoZero"/>
        <c:crossBetween val="midCat"/>
      </c:valAx>
      <c:valAx>
        <c:axId val="59790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Integrated</a:t>
                </a:r>
                <a:r>
                  <a:rPr lang="en-US" baseline="0"/>
                  <a:t> Absorbance 965 cm^-1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0"/>
          <c:tx>
            <c:v>Literature divided by 7.5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Sheet1!$A$59:$A$64</c:f>
              <c:numCache>
                <c:formatCode>General</c:formatCode>
                <c:ptCount val="6"/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Sheet1!$B$59:$B$64</c:f>
              <c:numCache>
                <c:formatCode>General</c:formatCode>
                <c:ptCount val="6"/>
                <c:pt idx="1">
                  <c:v>2.5438933333333334E-2</c:v>
                </c:pt>
                <c:pt idx="2">
                  <c:v>3.9055333333333331E-2</c:v>
                </c:pt>
                <c:pt idx="3">
                  <c:v>4.9712266666666664E-2</c:v>
                </c:pt>
                <c:pt idx="4">
                  <c:v>5.2925733333333329E-2</c:v>
                </c:pt>
                <c:pt idx="5">
                  <c:v>5.488373333333333E-2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0-40FB-A477-7CE365958E40}"/>
            </c:ext>
          </c:extLst>
        </c:ser>
        <c:ser>
          <c:idx val="1"/>
          <c:order val="2"/>
          <c:tx>
            <c:v>50 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Sheet1!$D$38:$D$56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</c:numCache>
            </c:numRef>
          </c:xVal>
          <c:yVal>
            <c:numRef>
              <c:f>Sheet1!$F$2:$F$20</c:f>
              <c:numCache>
                <c:formatCode>General</c:formatCode>
                <c:ptCount val="19"/>
                <c:pt idx="0">
                  <c:v>0</c:v>
                </c:pt>
                <c:pt idx="1">
                  <c:v>1.7739999999999999E-2</c:v>
                </c:pt>
                <c:pt idx="2">
                  <c:v>2.6280000000000001E-2</c:v>
                </c:pt>
                <c:pt idx="3">
                  <c:v>3.2000000000000001E-2</c:v>
                </c:pt>
                <c:pt idx="4">
                  <c:v>3.6600000000000001E-2</c:v>
                </c:pt>
                <c:pt idx="5">
                  <c:v>4.2900000000000001E-2</c:v>
                </c:pt>
                <c:pt idx="6">
                  <c:v>4.5199999999999997E-2</c:v>
                </c:pt>
                <c:pt idx="7">
                  <c:v>4.7899999999999998E-2</c:v>
                </c:pt>
                <c:pt idx="8">
                  <c:v>5.0599999999999999E-2</c:v>
                </c:pt>
                <c:pt idx="9">
                  <c:v>5.2699999999999997E-2</c:v>
                </c:pt>
                <c:pt idx="10">
                  <c:v>5.3600000000000002E-2</c:v>
                </c:pt>
                <c:pt idx="11">
                  <c:v>5.2999999999999999E-2</c:v>
                </c:pt>
                <c:pt idx="12">
                  <c:v>5.0900000000000001E-2</c:v>
                </c:pt>
                <c:pt idx="13">
                  <c:v>4.8300000000000003E-2</c:v>
                </c:pt>
                <c:pt idx="14">
                  <c:v>4.0099999999999997E-2</c:v>
                </c:pt>
                <c:pt idx="15">
                  <c:v>4.5999999999999999E-2</c:v>
                </c:pt>
                <c:pt idx="16">
                  <c:v>6.9099999999999995E-2</c:v>
                </c:pt>
                <c:pt idx="17">
                  <c:v>7.6799999999999993E-2</c:v>
                </c:pt>
                <c:pt idx="18">
                  <c:v>8.1299999999999997E-2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69-4982-9489-EE7633A01F38}"/>
            </c:ext>
          </c:extLst>
        </c:ser>
        <c:ser>
          <c:idx val="2"/>
          <c:order val="3"/>
          <c:tx>
            <c:v>100 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Sheet1!$D$38:$D$56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</c:numCache>
            </c:numRef>
          </c:xVal>
          <c:yVal>
            <c:numRef>
              <c:f>Sheet1!$H$2:$H$20</c:f>
              <c:numCache>
                <c:formatCode>General</c:formatCode>
                <c:ptCount val="19"/>
                <c:pt idx="0">
                  <c:v>0</c:v>
                </c:pt>
                <c:pt idx="1">
                  <c:v>3.2559999999999999E-2</c:v>
                </c:pt>
                <c:pt idx="2">
                  <c:v>4.1009999999999998E-2</c:v>
                </c:pt>
                <c:pt idx="3">
                  <c:v>4.7100000000000003E-2</c:v>
                </c:pt>
                <c:pt idx="4">
                  <c:v>5.1999999999999998E-2</c:v>
                </c:pt>
                <c:pt idx="5">
                  <c:v>5.4899999999999997E-2</c:v>
                </c:pt>
                <c:pt idx="6">
                  <c:v>5.6599999999999998E-2</c:v>
                </c:pt>
                <c:pt idx="7">
                  <c:v>6.0299999999999999E-2</c:v>
                </c:pt>
                <c:pt idx="8">
                  <c:v>6.2E-2</c:v>
                </c:pt>
                <c:pt idx="9">
                  <c:v>6.2899999999999998E-2</c:v>
                </c:pt>
                <c:pt idx="10">
                  <c:v>6.4699999999999994E-2</c:v>
                </c:pt>
                <c:pt idx="11">
                  <c:v>6.6199999999999995E-2</c:v>
                </c:pt>
                <c:pt idx="12">
                  <c:v>6.8199999999999997E-2</c:v>
                </c:pt>
                <c:pt idx="13">
                  <c:v>6.9199999999999998E-2</c:v>
                </c:pt>
                <c:pt idx="14">
                  <c:v>7.0300000000000001E-2</c:v>
                </c:pt>
                <c:pt idx="15">
                  <c:v>7.2900000000000006E-2</c:v>
                </c:pt>
                <c:pt idx="16">
                  <c:v>7.5399999999999995E-2</c:v>
                </c:pt>
                <c:pt idx="17">
                  <c:v>7.5600000000000001E-2</c:v>
                </c:pt>
                <c:pt idx="18">
                  <c:v>7.5600000000000001E-2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D-4F5E-A9E4-99FE41E1C9A9}"/>
            </c:ext>
          </c:extLst>
        </c:ser>
        <c:ser>
          <c:idx val="4"/>
          <c:order val="5"/>
          <c:tx>
            <c:v>100 W times 0.771096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Sheet1!$D$38:$D$56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</c:numCache>
              <c:extLst xmlns:c15="http://schemas.microsoft.com/office/drawing/2012/chart"/>
            </c:numRef>
          </c:xVal>
          <c:yVal>
            <c:numRef>
              <c:f>Sheet1!$C$38:$C$56</c:f>
              <c:numCache>
                <c:formatCode>General</c:formatCode>
                <c:ptCount val="19"/>
                <c:pt idx="0">
                  <c:v>0</c:v>
                </c:pt>
                <c:pt idx="1">
                  <c:v>2.5106890710361214E-2</c:v>
                </c:pt>
                <c:pt idx="2">
                  <c:v>3.1622653195083332E-2</c:v>
                </c:pt>
                <c:pt idx="3">
                  <c:v>3.6318628760995494E-2</c:v>
                </c:pt>
                <c:pt idx="4">
                  <c:v>4.0096999905982283E-2</c:v>
                </c:pt>
                <c:pt idx="5">
                  <c:v>4.2333178746892831E-2</c:v>
                </c:pt>
                <c:pt idx="6">
                  <c:v>4.3644042205357642E-2</c:v>
                </c:pt>
                <c:pt idx="7">
                  <c:v>4.6497097967898686E-2</c:v>
                </c:pt>
                <c:pt idx="8">
                  <c:v>4.7807961426363496E-2</c:v>
                </c:pt>
                <c:pt idx="9">
                  <c:v>4.8501947963197803E-2</c:v>
                </c:pt>
                <c:pt idx="10">
                  <c:v>4.9889921036866416E-2</c:v>
                </c:pt>
                <c:pt idx="11">
                  <c:v>5.1046565264923599E-2</c:v>
                </c:pt>
                <c:pt idx="12">
                  <c:v>5.258875756899984E-2</c:v>
                </c:pt>
                <c:pt idx="13">
                  <c:v>5.3359853721037964E-2</c:v>
                </c:pt>
                <c:pt idx="14">
                  <c:v>5.4208059488279899E-2</c:v>
                </c:pt>
                <c:pt idx="15">
                  <c:v>5.6212909483579016E-2</c:v>
                </c:pt>
                <c:pt idx="16">
                  <c:v>5.8140649863674308E-2</c:v>
                </c:pt>
                <c:pt idx="17">
                  <c:v>5.8294869094081936E-2</c:v>
                </c:pt>
                <c:pt idx="18">
                  <c:v>5.8294869094081936E-2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E09-43D9-B976-018ED46C4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544784"/>
        <c:axId val="6965777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5 mm MgF2 Window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Sheet1!$B$2:$B$20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17</c:v>
                      </c:pt>
                      <c:pt idx="4">
                        <c:v>21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70</c:v>
                      </c:pt>
                      <c:pt idx="14">
                        <c:v>80</c:v>
                      </c:pt>
                      <c:pt idx="15">
                        <c:v>90</c:v>
                      </c:pt>
                      <c:pt idx="16">
                        <c:v>100</c:v>
                      </c:pt>
                      <c:pt idx="17">
                        <c:v>110</c:v>
                      </c:pt>
                      <c:pt idx="18">
                        <c:v>120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Sheet1!$D$2:$D$20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2.5590000000000002E-2</c:v>
                      </c:pt>
                      <c:pt idx="2">
                        <c:v>3.0599999999999999E-2</c:v>
                      </c:pt>
                      <c:pt idx="3">
                        <c:v>3.5459999999999998E-2</c:v>
                      </c:pt>
                      <c:pt idx="4">
                        <c:v>3.7400000000000003E-2</c:v>
                      </c:pt>
                      <c:pt idx="5">
                        <c:v>3.9759999999999997E-2</c:v>
                      </c:pt>
                      <c:pt idx="6">
                        <c:v>4.2220000000000001E-2</c:v>
                      </c:pt>
                      <c:pt idx="7">
                        <c:v>4.3810000000000002E-2</c:v>
                      </c:pt>
                      <c:pt idx="8">
                        <c:v>4.5440000000000001E-2</c:v>
                      </c:pt>
                      <c:pt idx="9">
                        <c:v>4.8300000000000003E-2</c:v>
                      </c:pt>
                      <c:pt idx="10">
                        <c:v>4.8099999999999997E-2</c:v>
                      </c:pt>
                      <c:pt idx="11">
                        <c:v>4.9200000000000001E-2</c:v>
                      </c:pt>
                      <c:pt idx="12">
                        <c:v>4.9599999999999998E-2</c:v>
                      </c:pt>
                      <c:pt idx="13">
                        <c:v>5.3800000000000001E-2</c:v>
                      </c:pt>
                      <c:pt idx="14">
                        <c:v>5.4699999999999999E-2</c:v>
                      </c:pt>
                      <c:pt idx="15">
                        <c:v>5.62E-2</c:v>
                      </c:pt>
                      <c:pt idx="16">
                        <c:v>5.7299999999999997E-2</c:v>
                      </c:pt>
                      <c:pt idx="17">
                        <c:v>6.0900000000000003E-2</c:v>
                      </c:pt>
                      <c:pt idx="18">
                        <c:v>6.1800000000000001E-2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A69-4982-9489-EE7633A01F38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v>50 W times 1.296855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Sheet1!$D$38:$D$56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70</c:v>
                      </c:pt>
                      <c:pt idx="14">
                        <c:v>80</c:v>
                      </c:pt>
                      <c:pt idx="15">
                        <c:v>90</c:v>
                      </c:pt>
                      <c:pt idx="16">
                        <c:v>100</c:v>
                      </c:pt>
                      <c:pt idx="17">
                        <c:v>110</c:v>
                      </c:pt>
                      <c:pt idx="18">
                        <c:v>120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Sheet1!$B$38:$B$56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2.3006209994837303E-2</c:v>
                      </c:pt>
                      <c:pt idx="2">
                        <c:v>3.4081352799567324E-2</c:v>
                      </c:pt>
                      <c:pt idx="3">
                        <c:v>4.1499364139503593E-2</c:v>
                      </c:pt>
                      <c:pt idx="4">
                        <c:v>4.7464897734557233E-2</c:v>
                      </c:pt>
                      <c:pt idx="5">
                        <c:v>5.5635085049522005E-2</c:v>
                      </c:pt>
                      <c:pt idx="6">
                        <c:v>5.8617851847048819E-2</c:v>
                      </c:pt>
                      <c:pt idx="7">
                        <c:v>6.2119360696319438E-2</c:v>
                      </c:pt>
                      <c:pt idx="8">
                        <c:v>6.5620869545590058E-2</c:v>
                      </c:pt>
                      <c:pt idx="9">
                        <c:v>6.8344265317244968E-2</c:v>
                      </c:pt>
                      <c:pt idx="10">
                        <c:v>6.9511434933668514E-2</c:v>
                      </c:pt>
                      <c:pt idx="11">
                        <c:v>6.8733321856052826E-2</c:v>
                      </c:pt>
                      <c:pt idx="12">
                        <c:v>6.6009926084397902E-2</c:v>
                      </c:pt>
                      <c:pt idx="13">
                        <c:v>6.2638102748063237E-2</c:v>
                      </c:pt>
                      <c:pt idx="14">
                        <c:v>5.2003890687315431E-2</c:v>
                      </c:pt>
                      <c:pt idx="15">
                        <c:v>5.965533595053641E-2</c:v>
                      </c:pt>
                      <c:pt idx="16">
                        <c:v>8.9612689438740553E-2</c:v>
                      </c:pt>
                      <c:pt idx="17">
                        <c:v>9.9598473934808612E-2</c:v>
                      </c:pt>
                      <c:pt idx="18">
                        <c:v>0.1054343220169263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E09-43D9-B976-018ED46C4391}"/>
                  </c:ext>
                </c:extLst>
              </c15:ser>
            </c15:filteredScatterSeries>
          </c:ext>
        </c:extLst>
      </c:scatterChart>
      <c:valAx>
        <c:axId val="90754478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Irradiation</a:t>
                </a:r>
                <a:r>
                  <a:rPr lang="en-US" baseline="0"/>
                  <a:t>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77728"/>
        <c:crosses val="autoZero"/>
        <c:crossBetween val="midCat"/>
      </c:valAx>
      <c:valAx>
        <c:axId val="69657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Integrated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544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Integrated Absorbance 100 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Sheet1!$B$2:$B$20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  <c:pt idx="4">
                  <c:v>21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</c:numCache>
            </c:numRef>
          </c:xVal>
          <c:yVal>
            <c:numRef>
              <c:f>Sheet1!$H$2:$H$20</c:f>
              <c:numCache>
                <c:formatCode>General</c:formatCode>
                <c:ptCount val="19"/>
                <c:pt idx="0">
                  <c:v>0</c:v>
                </c:pt>
                <c:pt idx="1">
                  <c:v>3.2559999999999999E-2</c:v>
                </c:pt>
                <c:pt idx="2">
                  <c:v>4.1009999999999998E-2</c:v>
                </c:pt>
                <c:pt idx="3">
                  <c:v>4.7100000000000003E-2</c:v>
                </c:pt>
                <c:pt idx="4">
                  <c:v>5.1999999999999998E-2</c:v>
                </c:pt>
                <c:pt idx="5">
                  <c:v>5.4899999999999997E-2</c:v>
                </c:pt>
                <c:pt idx="6">
                  <c:v>5.6599999999999998E-2</c:v>
                </c:pt>
                <c:pt idx="7">
                  <c:v>6.0299999999999999E-2</c:v>
                </c:pt>
                <c:pt idx="8">
                  <c:v>6.2E-2</c:v>
                </c:pt>
                <c:pt idx="9">
                  <c:v>6.2899999999999998E-2</c:v>
                </c:pt>
                <c:pt idx="10">
                  <c:v>6.4699999999999994E-2</c:v>
                </c:pt>
                <c:pt idx="11">
                  <c:v>6.6199999999999995E-2</c:v>
                </c:pt>
                <c:pt idx="12">
                  <c:v>6.8199999999999997E-2</c:v>
                </c:pt>
                <c:pt idx="13">
                  <c:v>6.9199999999999998E-2</c:v>
                </c:pt>
                <c:pt idx="14">
                  <c:v>7.0300000000000001E-2</c:v>
                </c:pt>
                <c:pt idx="15">
                  <c:v>7.2900000000000006E-2</c:v>
                </c:pt>
                <c:pt idx="16">
                  <c:v>7.5399999999999995E-2</c:v>
                </c:pt>
                <c:pt idx="17">
                  <c:v>7.5600000000000001E-2</c:v>
                </c:pt>
                <c:pt idx="18">
                  <c:v>7.5600000000000001E-2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D-44D7-AFE9-7CA1BA2039D5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Integrated Absorbance 50W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Sheet1!$B$2:$B$20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  <c:pt idx="4">
                  <c:v>21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70</c:v>
                </c:pt>
                <c:pt idx="14">
                  <c:v>80</c:v>
                </c:pt>
                <c:pt idx="15">
                  <c:v>90</c:v>
                </c:pt>
                <c:pt idx="16">
                  <c:v>100</c:v>
                </c:pt>
                <c:pt idx="17">
                  <c:v>110</c:v>
                </c:pt>
                <c:pt idx="18">
                  <c:v>120</c:v>
                </c:pt>
              </c:numCache>
            </c:numRef>
          </c:xVal>
          <c:yVal>
            <c:numRef>
              <c:f>Sheet1!$F$2:$F$20</c:f>
              <c:numCache>
                <c:formatCode>General</c:formatCode>
                <c:ptCount val="19"/>
                <c:pt idx="0">
                  <c:v>0</c:v>
                </c:pt>
                <c:pt idx="1">
                  <c:v>1.7739999999999999E-2</c:v>
                </c:pt>
                <c:pt idx="2">
                  <c:v>2.6280000000000001E-2</c:v>
                </c:pt>
                <c:pt idx="3">
                  <c:v>3.2000000000000001E-2</c:v>
                </c:pt>
                <c:pt idx="4">
                  <c:v>3.6600000000000001E-2</c:v>
                </c:pt>
                <c:pt idx="5">
                  <c:v>4.2900000000000001E-2</c:v>
                </c:pt>
                <c:pt idx="6">
                  <c:v>4.5199999999999997E-2</c:v>
                </c:pt>
                <c:pt idx="7">
                  <c:v>4.7899999999999998E-2</c:v>
                </c:pt>
                <c:pt idx="8">
                  <c:v>5.0599999999999999E-2</c:v>
                </c:pt>
                <c:pt idx="9">
                  <c:v>5.2699999999999997E-2</c:v>
                </c:pt>
                <c:pt idx="10">
                  <c:v>5.3600000000000002E-2</c:v>
                </c:pt>
                <c:pt idx="11">
                  <c:v>5.2999999999999999E-2</c:v>
                </c:pt>
                <c:pt idx="12">
                  <c:v>5.0900000000000001E-2</c:v>
                </c:pt>
                <c:pt idx="13">
                  <c:v>4.8300000000000003E-2</c:v>
                </c:pt>
                <c:pt idx="14">
                  <c:v>4.0099999999999997E-2</c:v>
                </c:pt>
                <c:pt idx="15">
                  <c:v>4.5999999999999999E-2</c:v>
                </c:pt>
                <c:pt idx="16">
                  <c:v>6.9099999999999995E-2</c:v>
                </c:pt>
                <c:pt idx="17">
                  <c:v>7.6799999999999993E-2</c:v>
                </c:pt>
                <c:pt idx="18">
                  <c:v>8.1299999999999997E-2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D-44D7-AFE9-7CA1BA2039D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0</c:v>
                </c:pt>
                <c:pt idx="1">
                  <c:v>0.19079199999999999</c:v>
                </c:pt>
                <c:pt idx="2">
                  <c:v>0.29291499999999998</c:v>
                </c:pt>
                <c:pt idx="3">
                  <c:v>0.37284200000000001</c:v>
                </c:pt>
                <c:pt idx="4">
                  <c:v>0.39694299999999999</c:v>
                </c:pt>
                <c:pt idx="5">
                  <c:v>0.41162799999999999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7D-44D7-AFE9-7CA1BA203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126560"/>
        <c:axId val="1595137120"/>
      </c:scatterChart>
      <c:valAx>
        <c:axId val="1595126560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37120"/>
        <c:crosses val="autoZero"/>
        <c:crossBetween val="midCat"/>
      </c:valAx>
      <c:valAx>
        <c:axId val="159513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26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636375223322704"/>
          <c:y val="4.3219680268034917E-2"/>
          <c:w val="0.33747975915530032"/>
          <c:h val="0.77310408216539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765175</xdr:colOff>
      <xdr:row>20</xdr:row>
      <xdr:rowOff>177800</xdr:rowOff>
    </xdr:from>
    <xdr:to>
      <xdr:col>7</xdr:col>
      <xdr:colOff>276225</xdr:colOff>
      <xdr:row>35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91DD6-17C6-38F6-13CE-1AD395145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231775</xdr:colOff>
      <xdr:row>36</xdr:row>
      <xdr:rowOff>146050</xdr:rowOff>
    </xdr:from>
    <xdr:to>
      <xdr:col>7</xdr:col>
      <xdr:colOff>60325</xdr:colOff>
      <xdr:row>51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E90793-2D89-93DD-EA01-9DC47D63D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480785</xdr:colOff>
      <xdr:row>21</xdr:row>
      <xdr:rowOff>36287</xdr:rowOff>
    </xdr:from>
    <xdr:to>
      <xdr:col>16</xdr:col>
      <xdr:colOff>535215</xdr:colOff>
      <xdr:row>57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1D4CB8-03F1-7461-1706-6C42B4802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268C-CD21-46C1-AB9F-2C13F8CA746C}">
  <dimension ref="A1:N78"/>
  <sheetViews>
    <sheetView tabSelected="1" topLeftCell="B48" zoomScale="70" zoomScaleNormal="70" workbookViewId="0">
      <selection activeCell="G68" sqref="G68"/>
    </sheetView>
  </sheetViews>
  <sheetFormatPr defaultRowHeight="14.5" x14ac:dyDescent="0.35"/>
  <cols>
    <col min="1" max="1" width="10.90625" bestFit="1" customWidth="1"/>
    <col min="2" max="2" width="25.6328125" customWidth="1"/>
    <col min="3" max="3" width="39.1796875" bestFit="1" customWidth="1"/>
    <col min="4" max="4" width="37.6328125" bestFit="1" customWidth="1"/>
    <col min="5" max="5" width="20.6328125" customWidth="1"/>
    <col min="6" max="6" width="24.81640625" bestFit="1" customWidth="1"/>
    <col min="7" max="7" width="22.453125" bestFit="1" customWidth="1"/>
    <col min="8" max="8" width="25.90625" bestFit="1" customWidth="1"/>
    <col min="9" max="9" width="18.36328125" customWidth="1"/>
  </cols>
  <sheetData>
    <row r="1" spans="1:14" x14ac:dyDescent="0.35">
      <c r="A1" t="s">
        <v>0</v>
      </c>
      <c r="B1" t="s">
        <v>1</v>
      </c>
      <c r="C1" t="s">
        <v>9</v>
      </c>
      <c r="D1" t="s">
        <v>3</v>
      </c>
      <c r="E1" t="s">
        <v>2</v>
      </c>
      <c r="F1" t="s">
        <v>5</v>
      </c>
      <c r="G1" t="s">
        <v>4</v>
      </c>
      <c r="H1" t="s">
        <v>6</v>
      </c>
      <c r="I1" t="s">
        <v>13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f>D2*A$11</f>
        <v>0</v>
      </c>
      <c r="F2">
        <v>0</v>
      </c>
      <c r="G2">
        <f>F2*A$12</f>
        <v>0</v>
      </c>
      <c r="H2">
        <v>0</v>
      </c>
      <c r="I2">
        <f>F3/H3</f>
        <v>0.54484029484029484</v>
      </c>
      <c r="M2" s="2"/>
      <c r="N2" s="2"/>
    </row>
    <row r="3" spans="1:14" x14ac:dyDescent="0.35">
      <c r="A3">
        <v>20</v>
      </c>
      <c r="B3">
        <v>5</v>
      </c>
      <c r="C3">
        <v>0.19079199999999999</v>
      </c>
      <c r="D3">
        <v>2.5590000000000002E-2</v>
      </c>
      <c r="E3">
        <f t="shared" ref="E3:E20" si="0">D3*A$11</f>
        <v>0.20472000000000001</v>
      </c>
      <c r="F3">
        <v>1.7739999999999999E-2</v>
      </c>
      <c r="G3">
        <f t="shared" ref="G3:G20" si="1">F3*A$12</f>
        <v>0.14191999999999999</v>
      </c>
      <c r="H3">
        <v>3.2559999999999999E-2</v>
      </c>
      <c r="I3">
        <f t="shared" ref="I3:I19" si="2">F4/H4</f>
        <v>0.6408193123628384</v>
      </c>
      <c r="J3" s="1"/>
      <c r="M3" s="2"/>
      <c r="N3" s="2"/>
    </row>
    <row r="4" spans="1:14" x14ac:dyDescent="0.35">
      <c r="A4">
        <v>30</v>
      </c>
      <c r="B4">
        <v>10</v>
      </c>
      <c r="C4">
        <v>0.29291499999999998</v>
      </c>
      <c r="D4">
        <v>3.0599999999999999E-2</v>
      </c>
      <c r="E4">
        <f>D4*A$11</f>
        <v>0.24479999999999999</v>
      </c>
      <c r="F4">
        <v>2.6280000000000001E-2</v>
      </c>
      <c r="G4">
        <f t="shared" si="1"/>
        <v>0.21024000000000001</v>
      </c>
      <c r="H4">
        <v>4.1009999999999998E-2</v>
      </c>
      <c r="I4">
        <f t="shared" si="2"/>
        <v>0.67940552016985134</v>
      </c>
      <c r="J4" s="1"/>
      <c r="M4" s="2"/>
      <c r="N4" s="2"/>
    </row>
    <row r="5" spans="1:14" x14ac:dyDescent="0.35">
      <c r="A5">
        <v>40</v>
      </c>
      <c r="B5">
        <v>17</v>
      </c>
      <c r="C5">
        <v>0.37284200000000001</v>
      </c>
      <c r="D5">
        <v>3.5459999999999998E-2</v>
      </c>
      <c r="E5">
        <f>D5*A$11</f>
        <v>0.28367999999999999</v>
      </c>
      <c r="F5">
        <v>3.2000000000000001E-2</v>
      </c>
      <c r="G5">
        <f t="shared" si="1"/>
        <v>0.25600000000000001</v>
      </c>
      <c r="H5">
        <v>4.7100000000000003E-2</v>
      </c>
      <c r="I5">
        <f t="shared" si="2"/>
        <v>0.7038461538461539</v>
      </c>
      <c r="J5" s="1"/>
      <c r="M5" s="2"/>
      <c r="N5" s="2"/>
    </row>
    <row r="6" spans="1:14" x14ac:dyDescent="0.35">
      <c r="A6">
        <v>50</v>
      </c>
      <c r="B6">
        <v>21</v>
      </c>
      <c r="C6">
        <v>0.39694299999999999</v>
      </c>
      <c r="D6">
        <v>3.7400000000000003E-2</v>
      </c>
      <c r="E6">
        <f t="shared" si="0"/>
        <v>0.29920000000000002</v>
      </c>
      <c r="F6">
        <v>3.6600000000000001E-2</v>
      </c>
      <c r="G6">
        <f t="shared" si="1"/>
        <v>0.2928</v>
      </c>
      <c r="H6">
        <v>5.1999999999999998E-2</v>
      </c>
      <c r="I6">
        <f t="shared" si="2"/>
        <v>0.78142076502732249</v>
      </c>
      <c r="J6" s="1"/>
      <c r="M6" s="2"/>
      <c r="N6" s="2"/>
    </row>
    <row r="7" spans="1:14" x14ac:dyDescent="0.35">
      <c r="A7">
        <v>60</v>
      </c>
      <c r="B7">
        <v>25</v>
      </c>
      <c r="C7">
        <v>0.41162799999999999</v>
      </c>
      <c r="D7">
        <v>3.9759999999999997E-2</v>
      </c>
      <c r="E7">
        <f t="shared" si="0"/>
        <v>0.31807999999999997</v>
      </c>
      <c r="F7">
        <v>4.2900000000000001E-2</v>
      </c>
      <c r="G7">
        <f t="shared" si="1"/>
        <v>0.34320000000000001</v>
      </c>
      <c r="H7">
        <v>5.4899999999999997E-2</v>
      </c>
      <c r="I7">
        <f t="shared" si="2"/>
        <v>0.79858657243816256</v>
      </c>
      <c r="J7" s="1"/>
      <c r="M7" s="2"/>
      <c r="N7" s="2"/>
    </row>
    <row r="8" spans="1:14" x14ac:dyDescent="0.35">
      <c r="B8">
        <v>30</v>
      </c>
      <c r="D8">
        <v>4.2220000000000001E-2</v>
      </c>
      <c r="E8">
        <f t="shared" si="0"/>
        <v>0.33776</v>
      </c>
      <c r="F8">
        <v>4.5199999999999997E-2</v>
      </c>
      <c r="G8">
        <f t="shared" si="1"/>
        <v>0.36159999999999998</v>
      </c>
      <c r="H8">
        <v>5.6599999999999998E-2</v>
      </c>
      <c r="I8">
        <f t="shared" si="2"/>
        <v>0.79436152570480922</v>
      </c>
    </row>
    <row r="9" spans="1:14" x14ac:dyDescent="0.35">
      <c r="B9">
        <v>35</v>
      </c>
      <c r="D9">
        <v>4.3810000000000002E-2</v>
      </c>
      <c r="E9">
        <f t="shared" si="0"/>
        <v>0.35048000000000001</v>
      </c>
      <c r="F9">
        <v>4.7899999999999998E-2</v>
      </c>
      <c r="G9">
        <f t="shared" si="1"/>
        <v>0.38319999999999999</v>
      </c>
      <c r="H9">
        <v>6.0299999999999999E-2</v>
      </c>
      <c r="I9">
        <f t="shared" si="2"/>
        <v>0.81612903225806455</v>
      </c>
    </row>
    <row r="10" spans="1:14" x14ac:dyDescent="0.35">
      <c r="B10">
        <v>40</v>
      </c>
      <c r="D10">
        <v>4.5440000000000001E-2</v>
      </c>
      <c r="E10">
        <f t="shared" si="0"/>
        <v>0.36352000000000001</v>
      </c>
      <c r="F10">
        <v>5.0599999999999999E-2</v>
      </c>
      <c r="G10">
        <f t="shared" si="1"/>
        <v>0.40479999999999999</v>
      </c>
      <c r="H10">
        <v>6.2E-2</v>
      </c>
      <c r="I10">
        <f t="shared" si="2"/>
        <v>0.83783783783783783</v>
      </c>
    </row>
    <row r="11" spans="1:14" x14ac:dyDescent="0.35">
      <c r="A11">
        <v>8</v>
      </c>
      <c r="B11">
        <v>45</v>
      </c>
      <c r="D11">
        <v>4.8300000000000003E-2</v>
      </c>
      <c r="E11">
        <f t="shared" si="0"/>
        <v>0.38640000000000002</v>
      </c>
      <c r="F11">
        <v>5.2699999999999997E-2</v>
      </c>
      <c r="G11">
        <f t="shared" si="1"/>
        <v>0.42159999999999997</v>
      </c>
      <c r="H11">
        <v>6.2899999999999998E-2</v>
      </c>
      <c r="I11">
        <f t="shared" si="2"/>
        <v>0.8284389489953633</v>
      </c>
    </row>
    <row r="12" spans="1:14" x14ac:dyDescent="0.35">
      <c r="A12">
        <v>8</v>
      </c>
      <c r="B12">
        <v>50</v>
      </c>
      <c r="D12">
        <v>4.8099999999999997E-2</v>
      </c>
      <c r="E12">
        <f t="shared" si="0"/>
        <v>0.38479999999999998</v>
      </c>
      <c r="F12">
        <v>5.3600000000000002E-2</v>
      </c>
      <c r="G12">
        <f t="shared" si="1"/>
        <v>0.42880000000000001</v>
      </c>
      <c r="H12">
        <v>6.4699999999999994E-2</v>
      </c>
      <c r="I12">
        <f t="shared" si="2"/>
        <v>0.80060422960725075</v>
      </c>
    </row>
    <row r="13" spans="1:14" x14ac:dyDescent="0.35">
      <c r="B13">
        <v>55</v>
      </c>
      <c r="D13">
        <v>4.9200000000000001E-2</v>
      </c>
      <c r="E13">
        <f t="shared" si="0"/>
        <v>0.39360000000000001</v>
      </c>
      <c r="F13">
        <v>5.2999999999999999E-2</v>
      </c>
      <c r="G13">
        <f t="shared" si="1"/>
        <v>0.42399999999999999</v>
      </c>
      <c r="H13">
        <v>6.6199999999999995E-2</v>
      </c>
      <c r="I13">
        <f t="shared" si="2"/>
        <v>0.74633431085043989</v>
      </c>
    </row>
    <row r="14" spans="1:14" x14ac:dyDescent="0.35">
      <c r="B14">
        <v>60</v>
      </c>
      <c r="D14">
        <v>4.9599999999999998E-2</v>
      </c>
      <c r="E14">
        <f t="shared" si="0"/>
        <v>0.39679999999999999</v>
      </c>
      <c r="F14">
        <v>5.0900000000000001E-2</v>
      </c>
      <c r="G14">
        <f t="shared" si="1"/>
        <v>0.40720000000000001</v>
      </c>
      <c r="H14">
        <v>6.8199999999999997E-2</v>
      </c>
      <c r="I14">
        <f t="shared" si="2"/>
        <v>0.69797687861271684</v>
      </c>
    </row>
    <row r="15" spans="1:14" x14ac:dyDescent="0.35">
      <c r="B15">
        <v>70</v>
      </c>
      <c r="D15">
        <v>5.3800000000000001E-2</v>
      </c>
      <c r="E15">
        <f t="shared" si="0"/>
        <v>0.4304</v>
      </c>
      <c r="F15">
        <v>4.8300000000000003E-2</v>
      </c>
      <c r="G15">
        <f t="shared" si="1"/>
        <v>0.38640000000000002</v>
      </c>
      <c r="H15">
        <v>6.9199999999999998E-2</v>
      </c>
      <c r="I15">
        <f t="shared" si="2"/>
        <v>0.57041251778093882</v>
      </c>
    </row>
    <row r="16" spans="1:14" x14ac:dyDescent="0.35">
      <c r="B16">
        <v>80</v>
      </c>
      <c r="D16">
        <v>5.4699999999999999E-2</v>
      </c>
      <c r="E16">
        <f t="shared" si="0"/>
        <v>0.43759999999999999</v>
      </c>
      <c r="F16">
        <v>4.0099999999999997E-2</v>
      </c>
      <c r="G16">
        <f t="shared" si="1"/>
        <v>0.32079999999999997</v>
      </c>
      <c r="H16">
        <v>7.0300000000000001E-2</v>
      </c>
      <c r="I16">
        <f t="shared" si="2"/>
        <v>0.63100137174211246</v>
      </c>
    </row>
    <row r="17" spans="2:11" x14ac:dyDescent="0.35">
      <c r="B17">
        <v>90</v>
      </c>
      <c r="D17">
        <v>5.62E-2</v>
      </c>
      <c r="E17">
        <f t="shared" si="0"/>
        <v>0.4496</v>
      </c>
      <c r="F17">
        <v>4.5999999999999999E-2</v>
      </c>
      <c r="G17">
        <f t="shared" si="1"/>
        <v>0.36799999999999999</v>
      </c>
      <c r="H17">
        <v>7.2900000000000006E-2</v>
      </c>
      <c r="I17">
        <f t="shared" si="2"/>
        <v>0.91644562334217505</v>
      </c>
    </row>
    <row r="18" spans="2:11" x14ac:dyDescent="0.35">
      <c r="B18">
        <v>100</v>
      </c>
      <c r="D18">
        <v>5.7299999999999997E-2</v>
      </c>
      <c r="E18">
        <f t="shared" si="0"/>
        <v>0.45839999999999997</v>
      </c>
      <c r="F18">
        <v>6.9099999999999995E-2</v>
      </c>
      <c r="G18">
        <f t="shared" si="1"/>
        <v>0.55279999999999996</v>
      </c>
      <c r="H18">
        <v>7.5399999999999995E-2</v>
      </c>
      <c r="I18">
        <f t="shared" si="2"/>
        <v>1.0158730158730158</v>
      </c>
    </row>
    <row r="19" spans="2:11" x14ac:dyDescent="0.35">
      <c r="B19">
        <v>110</v>
      </c>
      <c r="D19">
        <v>6.0900000000000003E-2</v>
      </c>
      <c r="E19">
        <f t="shared" si="0"/>
        <v>0.48720000000000002</v>
      </c>
      <c r="F19">
        <v>7.6799999999999993E-2</v>
      </c>
      <c r="G19">
        <f t="shared" si="1"/>
        <v>0.61439999999999995</v>
      </c>
      <c r="H19">
        <v>7.5600000000000001E-2</v>
      </c>
      <c r="I19">
        <f t="shared" si="2"/>
        <v>1.0753968253968254</v>
      </c>
    </row>
    <row r="20" spans="2:11" x14ac:dyDescent="0.35">
      <c r="B20">
        <v>120</v>
      </c>
      <c r="D20">
        <v>6.1800000000000001E-2</v>
      </c>
      <c r="E20">
        <f t="shared" si="0"/>
        <v>0.49440000000000001</v>
      </c>
      <c r="F20">
        <v>8.1299999999999997E-2</v>
      </c>
      <c r="G20">
        <f t="shared" si="1"/>
        <v>0.65039999999999998</v>
      </c>
      <c r="H20">
        <v>7.5600000000000001E-2</v>
      </c>
      <c r="I20">
        <f>AVERAGE(I2:I19)</f>
        <v>0.77109615203812087</v>
      </c>
      <c r="J20" t="s">
        <v>14</v>
      </c>
      <c r="K20">
        <f>_xlfn.STDEV.S(I2:I19)</f>
        <v>0.13988221171509482</v>
      </c>
    </row>
    <row r="37" spans="1:4" x14ac:dyDescent="0.35">
      <c r="B37" t="s">
        <v>7</v>
      </c>
      <c r="C37" t="s">
        <v>17</v>
      </c>
    </row>
    <row r="38" spans="1:4" x14ac:dyDescent="0.35">
      <c r="A38">
        <f>1/A39</f>
        <v>1.2968551293594872</v>
      </c>
      <c r="B38">
        <f>F2*A$38</f>
        <v>0</v>
      </c>
      <c r="C38">
        <v>0</v>
      </c>
      <c r="D38">
        <v>0</v>
      </c>
    </row>
    <row r="39" spans="1:4" x14ac:dyDescent="0.35">
      <c r="A39">
        <f>I20</f>
        <v>0.77109615203812087</v>
      </c>
      <c r="B39">
        <f>F3*A$38</f>
        <v>2.3006209994837303E-2</v>
      </c>
      <c r="C39">
        <f t="shared" ref="C39:C56" si="3">H3*A$39</f>
        <v>2.5106890710361214E-2</v>
      </c>
      <c r="D39">
        <v>5</v>
      </c>
    </row>
    <row r="40" spans="1:4" x14ac:dyDescent="0.35">
      <c r="B40">
        <f t="shared" ref="B40:B56" si="4">F4*A$38</f>
        <v>3.4081352799567324E-2</v>
      </c>
      <c r="C40">
        <f>H4*A$39</f>
        <v>3.1622653195083332E-2</v>
      </c>
      <c r="D40">
        <v>10</v>
      </c>
    </row>
    <row r="41" spans="1:4" x14ac:dyDescent="0.35">
      <c r="B41">
        <f t="shared" si="4"/>
        <v>4.1499364139503593E-2</v>
      </c>
      <c r="C41">
        <f t="shared" si="3"/>
        <v>3.6318628760995494E-2</v>
      </c>
      <c r="D41">
        <v>15</v>
      </c>
    </row>
    <row r="42" spans="1:4" x14ac:dyDescent="0.35">
      <c r="B42">
        <f t="shared" si="4"/>
        <v>4.7464897734557233E-2</v>
      </c>
      <c r="C42">
        <f t="shared" si="3"/>
        <v>4.0096999905982283E-2</v>
      </c>
      <c r="D42">
        <v>20</v>
      </c>
    </row>
    <row r="43" spans="1:4" x14ac:dyDescent="0.35">
      <c r="B43">
        <f t="shared" si="4"/>
        <v>5.5635085049522005E-2</v>
      </c>
      <c r="C43">
        <f t="shared" si="3"/>
        <v>4.2333178746892831E-2</v>
      </c>
      <c r="D43">
        <v>25</v>
      </c>
    </row>
    <row r="44" spans="1:4" x14ac:dyDescent="0.35">
      <c r="B44">
        <f t="shared" si="4"/>
        <v>5.8617851847048819E-2</v>
      </c>
      <c r="C44">
        <f t="shared" si="3"/>
        <v>4.3644042205357642E-2</v>
      </c>
      <c r="D44">
        <v>30</v>
      </c>
    </row>
    <row r="45" spans="1:4" x14ac:dyDescent="0.35">
      <c r="B45">
        <f t="shared" si="4"/>
        <v>6.2119360696319438E-2</v>
      </c>
      <c r="C45">
        <f>H9*A$39</f>
        <v>4.6497097967898686E-2</v>
      </c>
      <c r="D45">
        <v>35</v>
      </c>
    </row>
    <row r="46" spans="1:4" x14ac:dyDescent="0.35">
      <c r="B46">
        <f t="shared" si="4"/>
        <v>6.5620869545590058E-2</v>
      </c>
      <c r="C46">
        <f t="shared" si="3"/>
        <v>4.7807961426363496E-2</v>
      </c>
      <c r="D46">
        <v>40</v>
      </c>
    </row>
    <row r="47" spans="1:4" x14ac:dyDescent="0.35">
      <c r="B47">
        <f t="shared" si="4"/>
        <v>6.8344265317244968E-2</v>
      </c>
      <c r="C47">
        <f t="shared" si="3"/>
        <v>4.8501947963197803E-2</v>
      </c>
      <c r="D47">
        <v>45</v>
      </c>
    </row>
    <row r="48" spans="1:4" x14ac:dyDescent="0.35">
      <c r="B48">
        <f t="shared" si="4"/>
        <v>6.9511434933668514E-2</v>
      </c>
      <c r="C48">
        <f t="shared" si="3"/>
        <v>4.9889921036866416E-2</v>
      </c>
      <c r="D48">
        <v>50</v>
      </c>
    </row>
    <row r="49" spans="1:6" x14ac:dyDescent="0.35">
      <c r="B49">
        <f t="shared" si="4"/>
        <v>6.8733321856052826E-2</v>
      </c>
      <c r="C49">
        <f t="shared" si="3"/>
        <v>5.1046565264923599E-2</v>
      </c>
      <c r="D49">
        <v>55</v>
      </c>
    </row>
    <row r="50" spans="1:6" x14ac:dyDescent="0.35">
      <c r="B50">
        <f t="shared" si="4"/>
        <v>6.6009926084397902E-2</v>
      </c>
      <c r="C50">
        <f t="shared" si="3"/>
        <v>5.258875756899984E-2</v>
      </c>
      <c r="D50">
        <v>60</v>
      </c>
    </row>
    <row r="51" spans="1:6" x14ac:dyDescent="0.35">
      <c r="B51">
        <f t="shared" si="4"/>
        <v>6.2638102748063237E-2</v>
      </c>
      <c r="C51">
        <f t="shared" si="3"/>
        <v>5.3359853721037964E-2</v>
      </c>
      <c r="D51">
        <v>70</v>
      </c>
    </row>
    <row r="52" spans="1:6" x14ac:dyDescent="0.35">
      <c r="B52">
        <f t="shared" si="4"/>
        <v>5.2003890687315431E-2</v>
      </c>
      <c r="C52">
        <f t="shared" si="3"/>
        <v>5.4208059488279899E-2</v>
      </c>
      <c r="D52">
        <v>80</v>
      </c>
    </row>
    <row r="53" spans="1:6" x14ac:dyDescent="0.35">
      <c r="B53">
        <f t="shared" si="4"/>
        <v>5.965533595053641E-2</v>
      </c>
      <c r="C53">
        <f t="shared" si="3"/>
        <v>5.6212909483579016E-2</v>
      </c>
      <c r="D53">
        <v>90</v>
      </c>
    </row>
    <row r="54" spans="1:6" x14ac:dyDescent="0.35">
      <c r="B54">
        <f t="shared" si="4"/>
        <v>8.9612689438740553E-2</v>
      </c>
      <c r="C54">
        <f t="shared" si="3"/>
        <v>5.8140649863674308E-2</v>
      </c>
      <c r="D54">
        <v>100</v>
      </c>
    </row>
    <row r="55" spans="1:6" x14ac:dyDescent="0.35">
      <c r="B55">
        <f>F19*A$38</f>
        <v>9.9598473934808612E-2</v>
      </c>
      <c r="C55">
        <f t="shared" si="3"/>
        <v>5.8294869094081936E-2</v>
      </c>
      <c r="D55">
        <v>110</v>
      </c>
    </row>
    <row r="56" spans="1:6" x14ac:dyDescent="0.35">
      <c r="B56">
        <f t="shared" si="4"/>
        <v>0.1054343220169263</v>
      </c>
      <c r="C56">
        <f t="shared" si="3"/>
        <v>5.8294869094081936E-2</v>
      </c>
      <c r="D56">
        <v>120</v>
      </c>
    </row>
    <row r="58" spans="1:6" ht="15" thickBot="1" x14ac:dyDescent="0.4">
      <c r="A58">
        <v>7.5</v>
      </c>
      <c r="B58" t="s">
        <v>8</v>
      </c>
      <c r="D58" t="s">
        <v>10</v>
      </c>
      <c r="E58" s="1">
        <v>1390000000000000</v>
      </c>
    </row>
    <row r="59" spans="1:6" ht="15" thickBot="1" x14ac:dyDescent="0.4">
      <c r="D59" s="3" t="s">
        <v>11</v>
      </c>
      <c r="E59" s="1">
        <f>E60*A38</f>
        <v>240350483974624.97</v>
      </c>
      <c r="F59" t="s">
        <v>16</v>
      </c>
    </row>
    <row r="60" spans="1:6" ht="15" thickBot="1" x14ac:dyDescent="0.4">
      <c r="A60">
        <v>20</v>
      </c>
      <c r="B60">
        <f>C3/A$58</f>
        <v>2.5438933333333334E-2</v>
      </c>
      <c r="D60" s="3" t="s">
        <v>12</v>
      </c>
      <c r="E60" s="1">
        <f>E58/A58</f>
        <v>185333333333333.34</v>
      </c>
      <c r="F60" t="s">
        <v>15</v>
      </c>
    </row>
    <row r="61" spans="1:6" x14ac:dyDescent="0.35">
      <c r="A61">
        <v>30</v>
      </c>
      <c r="B61">
        <f t="shared" ref="B61:B64" si="5">C4/A$58</f>
        <v>3.9055333333333331E-2</v>
      </c>
    </row>
    <row r="62" spans="1:6" x14ac:dyDescent="0.35">
      <c r="A62">
        <v>40</v>
      </c>
      <c r="B62">
        <f t="shared" si="5"/>
        <v>4.9712266666666664E-2</v>
      </c>
    </row>
    <row r="63" spans="1:6" x14ac:dyDescent="0.35">
      <c r="A63">
        <v>50</v>
      </c>
      <c r="B63">
        <f t="shared" si="5"/>
        <v>5.2925733333333329E-2</v>
      </c>
    </row>
    <row r="64" spans="1:6" x14ac:dyDescent="0.35">
      <c r="A64">
        <v>60</v>
      </c>
      <c r="B64">
        <f t="shared" si="5"/>
        <v>5.488373333333333E-2</v>
      </c>
    </row>
    <row r="66" spans="1:8" x14ac:dyDescent="0.35">
      <c r="A66" s="4"/>
    </row>
    <row r="70" spans="1:8" x14ac:dyDescent="0.35">
      <c r="C70" t="s">
        <v>18</v>
      </c>
      <c r="E70" t="s">
        <v>22</v>
      </c>
      <c r="G70" t="s">
        <v>23</v>
      </c>
      <c r="H70" t="s">
        <v>24</v>
      </c>
    </row>
    <row r="71" spans="1:8" x14ac:dyDescent="0.35">
      <c r="A71" t="s">
        <v>19</v>
      </c>
      <c r="B71" s="1">
        <f>E58*D72</f>
        <v>51711525901834.445</v>
      </c>
      <c r="C71" cm="1">
        <f t="array" ref="C71:D75">LINEST(C2:C7,A2:A7,TRUE,TRUE)</f>
        <v>7.0962000000000004E-3</v>
      </c>
      <c r="D71">
        <v>4.0979999999999961E-2</v>
      </c>
      <c r="E71" cm="1">
        <f t="array" ref="E71:F75">LINEST(C2:C5,A2:A5,TRUE,TRUE)</f>
        <v>9.4224199999999991E-3</v>
      </c>
      <c r="F71">
        <v>2.132800000000018E-3</v>
      </c>
    </row>
    <row r="72" spans="1:8" x14ac:dyDescent="0.35">
      <c r="A72" t="s">
        <v>19</v>
      </c>
      <c r="B72" s="1">
        <f>E58*F72</f>
        <v>9325458801047.5938</v>
      </c>
      <c r="C72">
        <v>9.6056536510685027E-4</v>
      </c>
      <c r="D72">
        <v>3.7202536620024783E-2</v>
      </c>
      <c r="E72">
        <v>2.4916463679376948E-4</v>
      </c>
      <c r="F72">
        <v>6.7089631662212912E-3</v>
      </c>
    </row>
    <row r="73" spans="1:8" x14ac:dyDescent="0.35">
      <c r="C73">
        <v>0.93171208215671819</v>
      </c>
      <c r="D73">
        <v>4.6399715317014596E-2</v>
      </c>
      <c r="E73">
        <v>0.998603403567214</v>
      </c>
      <c r="F73">
        <v>7.3703893519948905E-3</v>
      </c>
    </row>
    <row r="74" spans="1:8" x14ac:dyDescent="0.35">
      <c r="C74">
        <v>54.575515645093319</v>
      </c>
      <c r="D74">
        <v>4</v>
      </c>
      <c r="E74">
        <v>1430.0529202629475</v>
      </c>
      <c r="F74">
        <v>2</v>
      </c>
    </row>
    <row r="75" spans="1:8" x14ac:dyDescent="0.35">
      <c r="C75">
        <v>0.11749746035999999</v>
      </c>
      <c r="D75">
        <v>8.6117343259999955E-3</v>
      </c>
      <c r="E75">
        <v>7.7684248824349988E-2</v>
      </c>
      <c r="F75">
        <v>1.0864527839999933E-4</v>
      </c>
    </row>
    <row r="77" spans="1:8" x14ac:dyDescent="0.35">
      <c r="A77" t="s">
        <v>19</v>
      </c>
      <c r="B77" s="1">
        <f>E64*D78</f>
        <v>0</v>
      </c>
      <c r="C77" t="s">
        <v>20</v>
      </c>
      <c r="E77" t="s">
        <v>21</v>
      </c>
    </row>
    <row r="78" spans="1:8" x14ac:dyDescent="0.35">
      <c r="A78" t="s">
        <v>19</v>
      </c>
      <c r="B78" s="1">
        <f>E64*F78</f>
        <v>0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Collette Sarver</dc:creator>
  <cp:lastModifiedBy>Collette Sarver</cp:lastModifiedBy>
  <dcterms:created xsi:type="dcterms:W3CDTF">2023-12-13T21:21:30Z</dcterms:created>
  <dcterms:modified xsi:type="dcterms:W3CDTF">2025-10-02T16:25:32Z</dcterms:modified>
</cp:coreProperties>
</file>